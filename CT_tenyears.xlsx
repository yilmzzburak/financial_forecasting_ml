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urak/Desktop/YTU_Term_Project/MVP_1.3/Materials/raw_financials/"/>
    </mc:Choice>
  </mc:AlternateContent>
  <xr:revisionPtr revIDLastSave="0" documentId="13_ncr:1_{DB6866AC-796E-9846-B3D1-0B2B0B8B379F}" xr6:coauthVersionLast="47" xr6:coauthVersionMax="47" xr10:uidLastSave="{00000000-0000-0000-0000-000000000000}"/>
  <bookViews>
    <workbookView xWindow="4680" yWindow="600" windowWidth="29040" windowHeight="15720" activeTab="4" xr2:uid="{00000000-000D-0000-FFFF-FFFF00000000}"/>
  </bookViews>
  <sheets>
    <sheet name="Raw_Financials" sheetId="1" r:id="rId1"/>
    <sheet name="FXs" sheetId="2" r:id="rId2"/>
    <sheet name="converted2usd+IQR" sheetId="4" r:id="rId3"/>
    <sheet name="IQR_results_usd" sheetId="5" r:id="rId4"/>
    <sheet name="final_results" sheetId="6" r:id="rId5"/>
    <sheet name="Sayfa1" sheetId="7" r:id="rId6"/>
    <sheet name="Sayfa2" sheetId="8" r:id="rId7"/>
    <sheet name="Macro_Monthly" sheetId="3" state="hidden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8" l="1"/>
  <c r="M4" i="8"/>
  <c r="M3" i="8"/>
  <c r="B4" i="8"/>
  <c r="C4" i="8"/>
  <c r="D4" i="8"/>
  <c r="E4" i="8"/>
  <c r="F4" i="8"/>
  <c r="G4" i="8"/>
  <c r="H4" i="8"/>
  <c r="I4" i="8"/>
  <c r="J4" i="8"/>
  <c r="K4" i="8"/>
  <c r="B5" i="8"/>
  <c r="C5" i="8"/>
  <c r="D5" i="8"/>
  <c r="E5" i="8"/>
  <c r="F5" i="8"/>
  <c r="G5" i="8"/>
  <c r="H5" i="8"/>
  <c r="I5" i="8"/>
  <c r="J5" i="8"/>
  <c r="K5" i="8"/>
  <c r="B6" i="8"/>
  <c r="C6" i="8"/>
  <c r="D6" i="8"/>
  <c r="E6" i="8"/>
  <c r="F6" i="8"/>
  <c r="G6" i="8"/>
  <c r="H6" i="8"/>
  <c r="I6" i="8"/>
  <c r="J6" i="8"/>
  <c r="K6" i="8"/>
  <c r="B7" i="8"/>
  <c r="C7" i="8"/>
  <c r="D7" i="8"/>
  <c r="E7" i="8"/>
  <c r="F7" i="8"/>
  <c r="G7" i="8"/>
  <c r="H7" i="8"/>
  <c r="I7" i="8"/>
  <c r="J7" i="8"/>
  <c r="K7" i="8"/>
  <c r="B8" i="8"/>
  <c r="C8" i="8"/>
  <c r="D8" i="8"/>
  <c r="E8" i="8"/>
  <c r="F8" i="8"/>
  <c r="G8" i="8"/>
  <c r="H8" i="8"/>
  <c r="I8" i="8"/>
  <c r="J8" i="8"/>
  <c r="K8" i="8"/>
  <c r="B9" i="8"/>
  <c r="C9" i="8"/>
  <c r="D9" i="8"/>
  <c r="E9" i="8"/>
  <c r="F9" i="8"/>
  <c r="G9" i="8"/>
  <c r="H9" i="8"/>
  <c r="I9" i="8"/>
  <c r="J9" i="8"/>
  <c r="K9" i="8"/>
  <c r="B10" i="8"/>
  <c r="C10" i="8"/>
  <c r="D10" i="8"/>
  <c r="E10" i="8"/>
  <c r="F10" i="8"/>
  <c r="G10" i="8"/>
  <c r="H10" i="8"/>
  <c r="I10" i="8"/>
  <c r="J10" i="8"/>
  <c r="K10" i="8"/>
  <c r="B11" i="8"/>
  <c r="C11" i="8"/>
  <c r="D11" i="8"/>
  <c r="E11" i="8"/>
  <c r="F11" i="8"/>
  <c r="G11" i="8"/>
  <c r="H11" i="8"/>
  <c r="I11" i="8"/>
  <c r="J11" i="8"/>
  <c r="K11" i="8"/>
  <c r="B12" i="8"/>
  <c r="C12" i="8"/>
  <c r="D12" i="8"/>
  <c r="E12" i="8"/>
  <c r="F12" i="8"/>
  <c r="G12" i="8"/>
  <c r="H12" i="8"/>
  <c r="I12" i="8"/>
  <c r="J12" i="8"/>
  <c r="K12" i="8"/>
  <c r="B13" i="8"/>
  <c r="C13" i="8"/>
  <c r="D13" i="8"/>
  <c r="E13" i="8"/>
  <c r="F13" i="8"/>
  <c r="G13" i="8"/>
  <c r="H13" i="8"/>
  <c r="I13" i="8"/>
  <c r="J13" i="8"/>
  <c r="K13" i="8"/>
  <c r="B14" i="8"/>
  <c r="C14" i="8"/>
  <c r="D14" i="8"/>
  <c r="E14" i="8"/>
  <c r="F14" i="8"/>
  <c r="G14" i="8"/>
  <c r="H14" i="8"/>
  <c r="I14" i="8"/>
  <c r="J14" i="8"/>
  <c r="K14" i="8"/>
  <c r="B15" i="8"/>
  <c r="C15" i="8"/>
  <c r="D15" i="8"/>
  <c r="E15" i="8"/>
  <c r="F15" i="8"/>
  <c r="G15" i="8"/>
  <c r="H15" i="8"/>
  <c r="I15" i="8"/>
  <c r="J15" i="8"/>
  <c r="K15" i="8"/>
  <c r="B16" i="8"/>
  <c r="C16" i="8"/>
  <c r="D16" i="8"/>
  <c r="E16" i="8"/>
  <c r="F16" i="8"/>
  <c r="G16" i="8"/>
  <c r="H16" i="8"/>
  <c r="I16" i="8"/>
  <c r="J16" i="8"/>
  <c r="K16" i="8"/>
  <c r="B17" i="8"/>
  <c r="C17" i="8"/>
  <c r="D17" i="8"/>
  <c r="E17" i="8"/>
  <c r="F17" i="8"/>
  <c r="G17" i="8"/>
  <c r="H17" i="8"/>
  <c r="I17" i="8"/>
  <c r="J17" i="8"/>
  <c r="K17" i="8"/>
  <c r="B18" i="8"/>
  <c r="C18" i="8"/>
  <c r="D18" i="8"/>
  <c r="E18" i="8"/>
  <c r="F18" i="8"/>
  <c r="G18" i="8"/>
  <c r="H18" i="8"/>
  <c r="I18" i="8"/>
  <c r="J18" i="8"/>
  <c r="K18" i="8"/>
  <c r="B19" i="8"/>
  <c r="C19" i="8"/>
  <c r="D19" i="8"/>
  <c r="E19" i="8"/>
  <c r="F19" i="8"/>
  <c r="G19" i="8"/>
  <c r="H19" i="8"/>
  <c r="I19" i="8"/>
  <c r="J19" i="8"/>
  <c r="K19" i="8"/>
  <c r="B20" i="8"/>
  <c r="C20" i="8"/>
  <c r="D20" i="8"/>
  <c r="E20" i="8"/>
  <c r="F20" i="8"/>
  <c r="G20" i="8"/>
  <c r="H20" i="8"/>
  <c r="I20" i="8"/>
  <c r="J20" i="8"/>
  <c r="K20" i="8"/>
  <c r="B21" i="8"/>
  <c r="C21" i="8"/>
  <c r="D21" i="8"/>
  <c r="E21" i="8"/>
  <c r="F21" i="8"/>
  <c r="G21" i="8"/>
  <c r="H21" i="8"/>
  <c r="I21" i="8"/>
  <c r="J21" i="8"/>
  <c r="K21" i="8"/>
  <c r="B22" i="8"/>
  <c r="C22" i="8"/>
  <c r="D22" i="8"/>
  <c r="E22" i="8"/>
  <c r="F22" i="8"/>
  <c r="G22" i="8"/>
  <c r="H22" i="8"/>
  <c r="I22" i="8"/>
  <c r="J22" i="8"/>
  <c r="K22" i="8"/>
  <c r="B23" i="8"/>
  <c r="C23" i="8"/>
  <c r="D23" i="8"/>
  <c r="E23" i="8"/>
  <c r="F23" i="8"/>
  <c r="G23" i="8"/>
  <c r="H23" i="8"/>
  <c r="I23" i="8"/>
  <c r="J23" i="8"/>
  <c r="K23" i="8"/>
  <c r="B24" i="8"/>
  <c r="C24" i="8"/>
  <c r="D24" i="8"/>
  <c r="E24" i="8"/>
  <c r="F24" i="8"/>
  <c r="G24" i="8"/>
  <c r="H24" i="8"/>
  <c r="I24" i="8"/>
  <c r="J24" i="8"/>
  <c r="K24" i="8"/>
  <c r="B25" i="8"/>
  <c r="C25" i="8"/>
  <c r="D25" i="8"/>
  <c r="E25" i="8"/>
  <c r="F25" i="8"/>
  <c r="G25" i="8"/>
  <c r="H25" i="8"/>
  <c r="I25" i="8"/>
  <c r="J25" i="8"/>
  <c r="K25" i="8"/>
  <c r="B26" i="8"/>
  <c r="C26" i="8"/>
  <c r="D26" i="8"/>
  <c r="E26" i="8"/>
  <c r="F26" i="8"/>
  <c r="G26" i="8"/>
  <c r="H26" i="8"/>
  <c r="I26" i="8"/>
  <c r="J26" i="8"/>
  <c r="K26" i="8"/>
  <c r="B27" i="8"/>
  <c r="C27" i="8"/>
  <c r="D27" i="8"/>
  <c r="E27" i="8"/>
  <c r="F27" i="8"/>
  <c r="G27" i="8"/>
  <c r="H27" i="8"/>
  <c r="I27" i="8"/>
  <c r="J27" i="8"/>
  <c r="K27" i="8"/>
  <c r="B28" i="8"/>
  <c r="C28" i="8"/>
  <c r="D28" i="8"/>
  <c r="E28" i="8"/>
  <c r="F28" i="8"/>
  <c r="G28" i="8"/>
  <c r="H28" i="8"/>
  <c r="I28" i="8"/>
  <c r="J28" i="8"/>
  <c r="K28" i="8"/>
  <c r="B29" i="8"/>
  <c r="C29" i="8"/>
  <c r="D29" i="8"/>
  <c r="E29" i="8"/>
  <c r="F29" i="8"/>
  <c r="G29" i="8"/>
  <c r="H29" i="8"/>
  <c r="I29" i="8"/>
  <c r="J29" i="8"/>
  <c r="K29" i="8"/>
  <c r="B30" i="8"/>
  <c r="C30" i="8"/>
  <c r="D30" i="8"/>
  <c r="E30" i="8"/>
  <c r="F30" i="8"/>
  <c r="G30" i="8"/>
  <c r="H30" i="8"/>
  <c r="I30" i="8"/>
  <c r="J30" i="8"/>
  <c r="K30" i="8"/>
  <c r="B31" i="8"/>
  <c r="C31" i="8"/>
  <c r="D31" i="8"/>
  <c r="E31" i="8"/>
  <c r="F31" i="8"/>
  <c r="G31" i="8"/>
  <c r="H31" i="8"/>
  <c r="I31" i="8"/>
  <c r="J31" i="8"/>
  <c r="K31" i="8"/>
  <c r="B32" i="8"/>
  <c r="C32" i="8"/>
  <c r="D32" i="8"/>
  <c r="E32" i="8"/>
  <c r="F32" i="8"/>
  <c r="G32" i="8"/>
  <c r="H32" i="8"/>
  <c r="I32" i="8"/>
  <c r="J32" i="8"/>
  <c r="K32" i="8"/>
  <c r="B33" i="8"/>
  <c r="C33" i="8"/>
  <c r="D33" i="8"/>
  <c r="E33" i="8"/>
  <c r="F33" i="8"/>
  <c r="G33" i="8"/>
  <c r="H33" i="8"/>
  <c r="I33" i="8"/>
  <c r="J33" i="8"/>
  <c r="K33" i="8"/>
  <c r="B34" i="8"/>
  <c r="C34" i="8"/>
  <c r="D34" i="8"/>
  <c r="E34" i="8"/>
  <c r="F34" i="8"/>
  <c r="G34" i="8"/>
  <c r="H34" i="8"/>
  <c r="I34" i="8"/>
  <c r="J34" i="8"/>
  <c r="K34" i="8"/>
  <c r="B35" i="8"/>
  <c r="C35" i="8"/>
  <c r="D35" i="8"/>
  <c r="E35" i="8"/>
  <c r="F35" i="8"/>
  <c r="G35" i="8"/>
  <c r="H35" i="8"/>
  <c r="I35" i="8"/>
  <c r="J35" i="8"/>
  <c r="K35" i="8"/>
  <c r="B36" i="8"/>
  <c r="C36" i="8"/>
  <c r="D36" i="8"/>
  <c r="E36" i="8"/>
  <c r="F36" i="8"/>
  <c r="G36" i="8"/>
  <c r="H36" i="8"/>
  <c r="I36" i="8"/>
  <c r="J36" i="8"/>
  <c r="K36" i="8"/>
  <c r="B37" i="8"/>
  <c r="C37" i="8"/>
  <c r="D37" i="8"/>
  <c r="E37" i="8"/>
  <c r="F37" i="8"/>
  <c r="G37" i="8"/>
  <c r="H37" i="8"/>
  <c r="I37" i="8"/>
  <c r="J37" i="8"/>
  <c r="K37" i="8"/>
  <c r="B38" i="8"/>
  <c r="C38" i="8"/>
  <c r="D38" i="8"/>
  <c r="E38" i="8"/>
  <c r="F38" i="8"/>
  <c r="G38" i="8"/>
  <c r="H38" i="8"/>
  <c r="I38" i="8"/>
  <c r="J38" i="8"/>
  <c r="K38" i="8"/>
  <c r="B39" i="8"/>
  <c r="C39" i="8"/>
  <c r="D39" i="8"/>
  <c r="E39" i="8"/>
  <c r="F39" i="8"/>
  <c r="G39" i="8"/>
  <c r="H39" i="8"/>
  <c r="I39" i="8"/>
  <c r="J39" i="8"/>
  <c r="K39" i="8"/>
  <c r="B40" i="8"/>
  <c r="C40" i="8"/>
  <c r="D40" i="8"/>
  <c r="E40" i="8"/>
  <c r="F40" i="8"/>
  <c r="G40" i="8"/>
  <c r="H40" i="8"/>
  <c r="I40" i="8"/>
  <c r="J40" i="8"/>
  <c r="K40" i="8"/>
  <c r="B41" i="8"/>
  <c r="C41" i="8"/>
  <c r="D41" i="8"/>
  <c r="E41" i="8"/>
  <c r="F41" i="8"/>
  <c r="G41" i="8"/>
  <c r="H41" i="8"/>
  <c r="I41" i="8"/>
  <c r="J41" i="8"/>
  <c r="K41" i="8"/>
  <c r="B42" i="8"/>
  <c r="C42" i="8"/>
  <c r="D42" i="8"/>
  <c r="E42" i="8"/>
  <c r="F42" i="8"/>
  <c r="G42" i="8"/>
  <c r="H42" i="8"/>
  <c r="I42" i="8"/>
  <c r="J42" i="8"/>
  <c r="K42" i="8"/>
  <c r="B43" i="8"/>
  <c r="C43" i="8"/>
  <c r="D43" i="8"/>
  <c r="E43" i="8"/>
  <c r="F43" i="8"/>
  <c r="G43" i="8"/>
  <c r="H43" i="8"/>
  <c r="I43" i="8"/>
  <c r="J43" i="8"/>
  <c r="K43" i="8"/>
  <c r="B44" i="8"/>
  <c r="C44" i="8"/>
  <c r="D44" i="8"/>
  <c r="E44" i="8"/>
  <c r="F44" i="8"/>
  <c r="G44" i="8"/>
  <c r="H44" i="8"/>
  <c r="I44" i="8"/>
  <c r="J44" i="8"/>
  <c r="K44" i="8"/>
  <c r="B45" i="8"/>
  <c r="C45" i="8"/>
  <c r="D45" i="8"/>
  <c r="E45" i="8"/>
  <c r="F45" i="8"/>
  <c r="G45" i="8"/>
  <c r="H45" i="8"/>
  <c r="I45" i="8"/>
  <c r="J45" i="8"/>
  <c r="K45" i="8"/>
  <c r="B46" i="8"/>
  <c r="C46" i="8"/>
  <c r="D46" i="8"/>
  <c r="E46" i="8"/>
  <c r="F46" i="8"/>
  <c r="G46" i="8"/>
  <c r="H46" i="8"/>
  <c r="I46" i="8"/>
  <c r="J46" i="8"/>
  <c r="K46" i="8"/>
  <c r="B47" i="8"/>
  <c r="C47" i="8"/>
  <c r="D47" i="8"/>
  <c r="E47" i="8"/>
  <c r="F47" i="8"/>
  <c r="G47" i="8"/>
  <c r="H47" i="8"/>
  <c r="I47" i="8"/>
  <c r="J47" i="8"/>
  <c r="K47" i="8"/>
  <c r="B48" i="8"/>
  <c r="C48" i="8"/>
  <c r="D48" i="8"/>
  <c r="E48" i="8"/>
  <c r="F48" i="8"/>
  <c r="G48" i="8"/>
  <c r="H48" i="8"/>
  <c r="I48" i="8"/>
  <c r="J48" i="8"/>
  <c r="K48" i="8"/>
  <c r="B49" i="8"/>
  <c r="C49" i="8"/>
  <c r="D49" i="8"/>
  <c r="E49" i="8"/>
  <c r="F49" i="8"/>
  <c r="G49" i="8"/>
  <c r="H49" i="8"/>
  <c r="I49" i="8"/>
  <c r="J49" i="8"/>
  <c r="K49" i="8"/>
  <c r="B50" i="8"/>
  <c r="C50" i="8"/>
  <c r="D50" i="8"/>
  <c r="E50" i="8"/>
  <c r="F50" i="8"/>
  <c r="G50" i="8"/>
  <c r="H50" i="8"/>
  <c r="I50" i="8"/>
  <c r="J50" i="8"/>
  <c r="K50" i="8"/>
  <c r="B51" i="8"/>
  <c r="C51" i="8"/>
  <c r="D51" i="8"/>
  <c r="E51" i="8"/>
  <c r="F51" i="8"/>
  <c r="G51" i="8"/>
  <c r="H51" i="8"/>
  <c r="I51" i="8"/>
  <c r="J51" i="8"/>
  <c r="K51" i="8"/>
  <c r="B52" i="8"/>
  <c r="C52" i="8"/>
  <c r="D52" i="8"/>
  <c r="E52" i="8"/>
  <c r="F52" i="8"/>
  <c r="G52" i="8"/>
  <c r="H52" i="8"/>
  <c r="I52" i="8"/>
  <c r="J52" i="8"/>
  <c r="K52" i="8"/>
  <c r="B53" i="8"/>
  <c r="C53" i="8"/>
  <c r="D53" i="8"/>
  <c r="E53" i="8"/>
  <c r="F53" i="8"/>
  <c r="G53" i="8"/>
  <c r="H53" i="8"/>
  <c r="I53" i="8"/>
  <c r="J53" i="8"/>
  <c r="K53" i="8"/>
  <c r="B54" i="8"/>
  <c r="C54" i="8"/>
  <c r="D54" i="8"/>
  <c r="E54" i="8"/>
  <c r="F54" i="8"/>
  <c r="G54" i="8"/>
  <c r="H54" i="8"/>
  <c r="I54" i="8"/>
  <c r="J54" i="8"/>
  <c r="K54" i="8"/>
  <c r="B55" i="8"/>
  <c r="C55" i="8"/>
  <c r="D55" i="8"/>
  <c r="E55" i="8"/>
  <c r="F55" i="8"/>
  <c r="G55" i="8"/>
  <c r="H55" i="8"/>
  <c r="I55" i="8"/>
  <c r="J55" i="8"/>
  <c r="K55" i="8"/>
  <c r="B56" i="8"/>
  <c r="C56" i="8"/>
  <c r="D56" i="8"/>
  <c r="E56" i="8"/>
  <c r="F56" i="8"/>
  <c r="G56" i="8"/>
  <c r="H56" i="8"/>
  <c r="I56" i="8"/>
  <c r="J56" i="8"/>
  <c r="K56" i="8"/>
  <c r="B57" i="8"/>
  <c r="C57" i="8"/>
  <c r="D57" i="8"/>
  <c r="E57" i="8"/>
  <c r="F57" i="8"/>
  <c r="G57" i="8"/>
  <c r="H57" i="8"/>
  <c r="I57" i="8"/>
  <c r="J57" i="8"/>
  <c r="K57" i="8"/>
  <c r="B58" i="8"/>
  <c r="C58" i="8"/>
  <c r="D58" i="8"/>
  <c r="E58" i="8"/>
  <c r="F58" i="8"/>
  <c r="G58" i="8"/>
  <c r="H58" i="8"/>
  <c r="I58" i="8"/>
  <c r="J58" i="8"/>
  <c r="K58" i="8"/>
  <c r="B59" i="8"/>
  <c r="C59" i="8"/>
  <c r="D59" i="8"/>
  <c r="E59" i="8"/>
  <c r="F59" i="8"/>
  <c r="G59" i="8"/>
  <c r="H59" i="8"/>
  <c r="I59" i="8"/>
  <c r="J59" i="8"/>
  <c r="K59" i="8"/>
  <c r="B60" i="8"/>
  <c r="C60" i="8"/>
  <c r="D60" i="8"/>
  <c r="E60" i="8"/>
  <c r="F60" i="8"/>
  <c r="G60" i="8"/>
  <c r="H60" i="8"/>
  <c r="I60" i="8"/>
  <c r="J60" i="8"/>
  <c r="K60" i="8"/>
  <c r="B61" i="8"/>
  <c r="C61" i="8"/>
  <c r="D61" i="8"/>
  <c r="E61" i="8"/>
  <c r="F61" i="8"/>
  <c r="G61" i="8"/>
  <c r="H61" i="8"/>
  <c r="I61" i="8"/>
  <c r="J61" i="8"/>
  <c r="K61" i="8"/>
  <c r="B62" i="8"/>
  <c r="C62" i="8"/>
  <c r="D62" i="8"/>
  <c r="E62" i="8"/>
  <c r="F62" i="8"/>
  <c r="G62" i="8"/>
  <c r="H62" i="8"/>
  <c r="I62" i="8"/>
  <c r="J62" i="8"/>
  <c r="K62" i="8"/>
  <c r="B63" i="8"/>
  <c r="C63" i="8"/>
  <c r="D63" i="8"/>
  <c r="E63" i="8"/>
  <c r="F63" i="8"/>
  <c r="G63" i="8"/>
  <c r="H63" i="8"/>
  <c r="I63" i="8"/>
  <c r="J63" i="8"/>
  <c r="K63" i="8"/>
  <c r="B64" i="8"/>
  <c r="C64" i="8"/>
  <c r="D64" i="8"/>
  <c r="E64" i="8"/>
  <c r="F64" i="8"/>
  <c r="G64" i="8"/>
  <c r="H64" i="8"/>
  <c r="I64" i="8"/>
  <c r="J64" i="8"/>
  <c r="K64" i="8"/>
  <c r="B65" i="8"/>
  <c r="C65" i="8"/>
  <c r="D65" i="8"/>
  <c r="E65" i="8"/>
  <c r="F65" i="8"/>
  <c r="G65" i="8"/>
  <c r="H65" i="8"/>
  <c r="I65" i="8"/>
  <c r="J65" i="8"/>
  <c r="K65" i="8"/>
  <c r="B66" i="8"/>
  <c r="C66" i="8"/>
  <c r="D66" i="8"/>
  <c r="E66" i="8"/>
  <c r="F66" i="8"/>
  <c r="G66" i="8"/>
  <c r="H66" i="8"/>
  <c r="I66" i="8"/>
  <c r="J66" i="8"/>
  <c r="K66" i="8"/>
  <c r="B67" i="8"/>
  <c r="C67" i="8"/>
  <c r="D67" i="8"/>
  <c r="E67" i="8"/>
  <c r="F67" i="8"/>
  <c r="G67" i="8"/>
  <c r="H67" i="8"/>
  <c r="I67" i="8"/>
  <c r="J67" i="8"/>
  <c r="K67" i="8"/>
  <c r="B68" i="8"/>
  <c r="C68" i="8"/>
  <c r="D68" i="8"/>
  <c r="E68" i="8"/>
  <c r="F68" i="8"/>
  <c r="G68" i="8"/>
  <c r="H68" i="8"/>
  <c r="I68" i="8"/>
  <c r="J68" i="8"/>
  <c r="K68" i="8"/>
  <c r="B69" i="8"/>
  <c r="C69" i="8"/>
  <c r="D69" i="8"/>
  <c r="E69" i="8"/>
  <c r="F69" i="8"/>
  <c r="G69" i="8"/>
  <c r="H69" i="8"/>
  <c r="I69" i="8"/>
  <c r="J69" i="8"/>
  <c r="K69" i="8"/>
  <c r="B70" i="8"/>
  <c r="C70" i="8"/>
  <c r="D70" i="8"/>
  <c r="E70" i="8"/>
  <c r="F70" i="8"/>
  <c r="G70" i="8"/>
  <c r="H70" i="8"/>
  <c r="I70" i="8"/>
  <c r="J70" i="8"/>
  <c r="K70" i="8"/>
  <c r="B71" i="8"/>
  <c r="C71" i="8"/>
  <c r="D71" i="8"/>
  <c r="E71" i="8"/>
  <c r="F71" i="8"/>
  <c r="G71" i="8"/>
  <c r="H71" i="8"/>
  <c r="I71" i="8"/>
  <c r="J71" i="8"/>
  <c r="K71" i="8"/>
  <c r="B72" i="8"/>
  <c r="C72" i="8"/>
  <c r="D72" i="8"/>
  <c r="E72" i="8"/>
  <c r="F72" i="8"/>
  <c r="G72" i="8"/>
  <c r="H72" i="8"/>
  <c r="I72" i="8"/>
  <c r="J72" i="8"/>
  <c r="K72" i="8"/>
  <c r="B73" i="8"/>
  <c r="C73" i="8"/>
  <c r="D73" i="8"/>
  <c r="E73" i="8"/>
  <c r="F73" i="8"/>
  <c r="G73" i="8"/>
  <c r="H73" i="8"/>
  <c r="I73" i="8"/>
  <c r="J73" i="8"/>
  <c r="K73" i="8"/>
  <c r="B74" i="8"/>
  <c r="C74" i="8"/>
  <c r="D74" i="8"/>
  <c r="E74" i="8"/>
  <c r="F74" i="8"/>
  <c r="G74" i="8"/>
  <c r="H74" i="8"/>
  <c r="I74" i="8"/>
  <c r="J74" i="8"/>
  <c r="K74" i="8"/>
  <c r="B75" i="8"/>
  <c r="C75" i="8"/>
  <c r="D75" i="8"/>
  <c r="E75" i="8"/>
  <c r="F75" i="8"/>
  <c r="G75" i="8"/>
  <c r="H75" i="8"/>
  <c r="I75" i="8"/>
  <c r="J75" i="8"/>
  <c r="K75" i="8"/>
  <c r="B76" i="8"/>
  <c r="C76" i="8"/>
  <c r="D76" i="8"/>
  <c r="E76" i="8"/>
  <c r="F76" i="8"/>
  <c r="G76" i="8"/>
  <c r="H76" i="8"/>
  <c r="I76" i="8"/>
  <c r="J76" i="8"/>
  <c r="K76" i="8"/>
  <c r="B77" i="8"/>
  <c r="C77" i="8"/>
  <c r="D77" i="8"/>
  <c r="E77" i="8"/>
  <c r="F77" i="8"/>
  <c r="G77" i="8"/>
  <c r="H77" i="8"/>
  <c r="I77" i="8"/>
  <c r="J77" i="8"/>
  <c r="K77" i="8"/>
  <c r="B78" i="8"/>
  <c r="C78" i="8"/>
  <c r="D78" i="8"/>
  <c r="E78" i="8"/>
  <c r="F78" i="8"/>
  <c r="G78" i="8"/>
  <c r="H78" i="8"/>
  <c r="I78" i="8"/>
  <c r="J78" i="8"/>
  <c r="K78" i="8"/>
  <c r="B79" i="8"/>
  <c r="C79" i="8"/>
  <c r="D79" i="8"/>
  <c r="E79" i="8"/>
  <c r="F79" i="8"/>
  <c r="G79" i="8"/>
  <c r="H79" i="8"/>
  <c r="I79" i="8"/>
  <c r="J79" i="8"/>
  <c r="K79" i="8"/>
  <c r="B80" i="8"/>
  <c r="C80" i="8"/>
  <c r="D80" i="8"/>
  <c r="E80" i="8"/>
  <c r="F80" i="8"/>
  <c r="G80" i="8"/>
  <c r="H80" i="8"/>
  <c r="I80" i="8"/>
  <c r="J80" i="8"/>
  <c r="K80" i="8"/>
  <c r="B81" i="8"/>
  <c r="C81" i="8"/>
  <c r="D81" i="8"/>
  <c r="E81" i="8"/>
  <c r="F81" i="8"/>
  <c r="G81" i="8"/>
  <c r="H81" i="8"/>
  <c r="I81" i="8"/>
  <c r="J81" i="8"/>
  <c r="K81" i="8"/>
  <c r="B82" i="8"/>
  <c r="C82" i="8"/>
  <c r="D82" i="8"/>
  <c r="E82" i="8"/>
  <c r="F82" i="8"/>
  <c r="G82" i="8"/>
  <c r="H82" i="8"/>
  <c r="I82" i="8"/>
  <c r="J82" i="8"/>
  <c r="K82" i="8"/>
  <c r="B83" i="8"/>
  <c r="C83" i="8"/>
  <c r="D83" i="8"/>
  <c r="E83" i="8"/>
  <c r="F83" i="8"/>
  <c r="G83" i="8"/>
  <c r="H83" i="8"/>
  <c r="I83" i="8"/>
  <c r="J83" i="8"/>
  <c r="K83" i="8"/>
  <c r="B84" i="8"/>
  <c r="C84" i="8"/>
  <c r="D84" i="8"/>
  <c r="E84" i="8"/>
  <c r="F84" i="8"/>
  <c r="G84" i="8"/>
  <c r="H84" i="8"/>
  <c r="I84" i="8"/>
  <c r="J84" i="8"/>
  <c r="K84" i="8"/>
  <c r="B85" i="8"/>
  <c r="C85" i="8"/>
  <c r="D85" i="8"/>
  <c r="E85" i="8"/>
  <c r="F85" i="8"/>
  <c r="G85" i="8"/>
  <c r="H85" i="8"/>
  <c r="I85" i="8"/>
  <c r="J85" i="8"/>
  <c r="K85" i="8"/>
  <c r="B86" i="8"/>
  <c r="C86" i="8"/>
  <c r="D86" i="8"/>
  <c r="E86" i="8"/>
  <c r="F86" i="8"/>
  <c r="G86" i="8"/>
  <c r="H86" i="8"/>
  <c r="I86" i="8"/>
  <c r="J86" i="8"/>
  <c r="K86" i="8"/>
  <c r="B87" i="8"/>
  <c r="C87" i="8"/>
  <c r="D87" i="8"/>
  <c r="E87" i="8"/>
  <c r="F87" i="8"/>
  <c r="G87" i="8"/>
  <c r="H87" i="8"/>
  <c r="I87" i="8"/>
  <c r="J87" i="8"/>
  <c r="K87" i="8"/>
  <c r="B88" i="8"/>
  <c r="C88" i="8"/>
  <c r="D88" i="8"/>
  <c r="E88" i="8"/>
  <c r="F88" i="8"/>
  <c r="G88" i="8"/>
  <c r="H88" i="8"/>
  <c r="I88" i="8"/>
  <c r="J88" i="8"/>
  <c r="K88" i="8"/>
  <c r="B89" i="8"/>
  <c r="C89" i="8"/>
  <c r="D89" i="8"/>
  <c r="E89" i="8"/>
  <c r="F89" i="8"/>
  <c r="G89" i="8"/>
  <c r="H89" i="8"/>
  <c r="I89" i="8"/>
  <c r="J89" i="8"/>
  <c r="K89" i="8"/>
  <c r="B90" i="8"/>
  <c r="C90" i="8"/>
  <c r="D90" i="8"/>
  <c r="E90" i="8"/>
  <c r="F90" i="8"/>
  <c r="G90" i="8"/>
  <c r="H90" i="8"/>
  <c r="I90" i="8"/>
  <c r="J90" i="8"/>
  <c r="K90" i="8"/>
  <c r="B91" i="8"/>
  <c r="C91" i="8"/>
  <c r="D91" i="8"/>
  <c r="E91" i="8"/>
  <c r="F91" i="8"/>
  <c r="G91" i="8"/>
  <c r="H91" i="8"/>
  <c r="I91" i="8"/>
  <c r="J91" i="8"/>
  <c r="K91" i="8"/>
  <c r="B92" i="8"/>
  <c r="C92" i="8"/>
  <c r="D92" i="8"/>
  <c r="E92" i="8"/>
  <c r="F92" i="8"/>
  <c r="G92" i="8"/>
  <c r="H92" i="8"/>
  <c r="I92" i="8"/>
  <c r="J92" i="8"/>
  <c r="K92" i="8"/>
  <c r="B93" i="8"/>
  <c r="C93" i="8"/>
  <c r="D93" i="8"/>
  <c r="E93" i="8"/>
  <c r="F93" i="8"/>
  <c r="G93" i="8"/>
  <c r="H93" i="8"/>
  <c r="I93" i="8"/>
  <c r="J93" i="8"/>
  <c r="K93" i="8"/>
  <c r="B94" i="8"/>
  <c r="C94" i="8"/>
  <c r="D94" i="8"/>
  <c r="E94" i="8"/>
  <c r="F94" i="8"/>
  <c r="G94" i="8"/>
  <c r="H94" i="8"/>
  <c r="I94" i="8"/>
  <c r="J94" i="8"/>
  <c r="K94" i="8"/>
  <c r="B95" i="8"/>
  <c r="C95" i="8"/>
  <c r="D95" i="8"/>
  <c r="E95" i="8"/>
  <c r="F95" i="8"/>
  <c r="G95" i="8"/>
  <c r="H95" i="8"/>
  <c r="I95" i="8"/>
  <c r="J95" i="8"/>
  <c r="K95" i="8"/>
  <c r="B96" i="8"/>
  <c r="C96" i="8"/>
  <c r="D96" i="8"/>
  <c r="E96" i="8"/>
  <c r="F96" i="8"/>
  <c r="G96" i="8"/>
  <c r="H96" i="8"/>
  <c r="I96" i="8"/>
  <c r="J96" i="8"/>
  <c r="K96" i="8"/>
  <c r="B97" i="8"/>
  <c r="C97" i="8"/>
  <c r="D97" i="8"/>
  <c r="E97" i="8"/>
  <c r="F97" i="8"/>
  <c r="G97" i="8"/>
  <c r="H97" i="8"/>
  <c r="I97" i="8"/>
  <c r="J97" i="8"/>
  <c r="K97" i="8"/>
  <c r="B98" i="8"/>
  <c r="C98" i="8"/>
  <c r="D98" i="8"/>
  <c r="E98" i="8"/>
  <c r="F98" i="8"/>
  <c r="G98" i="8"/>
  <c r="H98" i="8"/>
  <c r="I98" i="8"/>
  <c r="J98" i="8"/>
  <c r="K98" i="8"/>
  <c r="B99" i="8"/>
  <c r="C99" i="8"/>
  <c r="D99" i="8"/>
  <c r="E99" i="8"/>
  <c r="F99" i="8"/>
  <c r="G99" i="8"/>
  <c r="H99" i="8"/>
  <c r="I99" i="8"/>
  <c r="J99" i="8"/>
  <c r="K99" i="8"/>
  <c r="B100" i="8"/>
  <c r="C100" i="8"/>
  <c r="D100" i="8"/>
  <c r="E100" i="8"/>
  <c r="F100" i="8"/>
  <c r="G100" i="8"/>
  <c r="H100" i="8"/>
  <c r="I100" i="8"/>
  <c r="J100" i="8"/>
  <c r="K100" i="8"/>
  <c r="B101" i="8"/>
  <c r="C101" i="8"/>
  <c r="D101" i="8"/>
  <c r="E101" i="8"/>
  <c r="F101" i="8"/>
  <c r="G101" i="8"/>
  <c r="H101" i="8"/>
  <c r="I101" i="8"/>
  <c r="J101" i="8"/>
  <c r="K101" i="8"/>
  <c r="B102" i="8"/>
  <c r="C102" i="8"/>
  <c r="D102" i="8"/>
  <c r="E102" i="8"/>
  <c r="F102" i="8"/>
  <c r="G102" i="8"/>
  <c r="H102" i="8"/>
  <c r="I102" i="8"/>
  <c r="J102" i="8"/>
  <c r="K102" i="8"/>
  <c r="B103" i="8"/>
  <c r="C103" i="8"/>
  <c r="D103" i="8"/>
  <c r="E103" i="8"/>
  <c r="F103" i="8"/>
  <c r="G103" i="8"/>
  <c r="H103" i="8"/>
  <c r="I103" i="8"/>
  <c r="J103" i="8"/>
  <c r="K103" i="8"/>
  <c r="B104" i="8"/>
  <c r="C104" i="8"/>
  <c r="D104" i="8"/>
  <c r="E104" i="8"/>
  <c r="F104" i="8"/>
  <c r="G104" i="8"/>
  <c r="H104" i="8"/>
  <c r="I104" i="8"/>
  <c r="J104" i="8"/>
  <c r="K104" i="8"/>
  <c r="B105" i="8"/>
  <c r="C105" i="8"/>
  <c r="D105" i="8"/>
  <c r="E105" i="8"/>
  <c r="F105" i="8"/>
  <c r="G105" i="8"/>
  <c r="H105" i="8"/>
  <c r="I105" i="8"/>
  <c r="J105" i="8"/>
  <c r="K105" i="8"/>
  <c r="B106" i="8"/>
  <c r="C106" i="8"/>
  <c r="D106" i="8"/>
  <c r="E106" i="8"/>
  <c r="F106" i="8"/>
  <c r="G106" i="8"/>
  <c r="H106" i="8"/>
  <c r="I106" i="8"/>
  <c r="J106" i="8"/>
  <c r="K106" i="8"/>
  <c r="B107" i="8"/>
  <c r="C107" i="8"/>
  <c r="D107" i="8"/>
  <c r="E107" i="8"/>
  <c r="F107" i="8"/>
  <c r="G107" i="8"/>
  <c r="H107" i="8"/>
  <c r="I107" i="8"/>
  <c r="J107" i="8"/>
  <c r="K107" i="8"/>
  <c r="B108" i="8"/>
  <c r="C108" i="8"/>
  <c r="D108" i="8"/>
  <c r="E108" i="8"/>
  <c r="F108" i="8"/>
  <c r="G108" i="8"/>
  <c r="H108" i="8"/>
  <c r="I108" i="8"/>
  <c r="J108" i="8"/>
  <c r="K108" i="8"/>
  <c r="B109" i="8"/>
  <c r="C109" i="8"/>
  <c r="D109" i="8"/>
  <c r="E109" i="8"/>
  <c r="F109" i="8"/>
  <c r="G109" i="8"/>
  <c r="H109" i="8"/>
  <c r="I109" i="8"/>
  <c r="J109" i="8"/>
  <c r="K109" i="8"/>
  <c r="B110" i="8"/>
  <c r="C110" i="8"/>
  <c r="D110" i="8"/>
  <c r="E110" i="8"/>
  <c r="F110" i="8"/>
  <c r="G110" i="8"/>
  <c r="H110" i="8"/>
  <c r="I110" i="8"/>
  <c r="J110" i="8"/>
  <c r="K110" i="8"/>
  <c r="B111" i="8"/>
  <c r="C111" i="8"/>
  <c r="D111" i="8"/>
  <c r="E111" i="8"/>
  <c r="F111" i="8"/>
  <c r="G111" i="8"/>
  <c r="H111" i="8"/>
  <c r="I111" i="8"/>
  <c r="J111" i="8"/>
  <c r="K111" i="8"/>
  <c r="B112" i="8"/>
  <c r="C112" i="8"/>
  <c r="D112" i="8"/>
  <c r="E112" i="8"/>
  <c r="F112" i="8"/>
  <c r="G112" i="8"/>
  <c r="H112" i="8"/>
  <c r="I112" i="8"/>
  <c r="J112" i="8"/>
  <c r="K112" i="8"/>
  <c r="B113" i="8"/>
  <c r="C113" i="8"/>
  <c r="D113" i="8"/>
  <c r="E113" i="8"/>
  <c r="F113" i="8"/>
  <c r="G113" i="8"/>
  <c r="H113" i="8"/>
  <c r="I113" i="8"/>
  <c r="J113" i="8"/>
  <c r="K113" i="8"/>
  <c r="B114" i="8"/>
  <c r="C114" i="8"/>
  <c r="D114" i="8"/>
  <c r="E114" i="8"/>
  <c r="F114" i="8"/>
  <c r="G114" i="8"/>
  <c r="H114" i="8"/>
  <c r="I114" i="8"/>
  <c r="J114" i="8"/>
  <c r="K114" i="8"/>
  <c r="B115" i="8"/>
  <c r="C115" i="8"/>
  <c r="D115" i="8"/>
  <c r="E115" i="8"/>
  <c r="F115" i="8"/>
  <c r="G115" i="8"/>
  <c r="H115" i="8"/>
  <c r="I115" i="8"/>
  <c r="J115" i="8"/>
  <c r="K115" i="8"/>
  <c r="B116" i="8"/>
  <c r="C116" i="8"/>
  <c r="D116" i="8"/>
  <c r="E116" i="8"/>
  <c r="F116" i="8"/>
  <c r="G116" i="8"/>
  <c r="H116" i="8"/>
  <c r="I116" i="8"/>
  <c r="J116" i="8"/>
  <c r="K116" i="8"/>
  <c r="B117" i="8"/>
  <c r="C117" i="8"/>
  <c r="D117" i="8"/>
  <c r="E117" i="8"/>
  <c r="F117" i="8"/>
  <c r="G117" i="8"/>
  <c r="H117" i="8"/>
  <c r="I117" i="8"/>
  <c r="J117" i="8"/>
  <c r="K117" i="8"/>
  <c r="B118" i="8"/>
  <c r="C118" i="8"/>
  <c r="D118" i="8"/>
  <c r="E118" i="8"/>
  <c r="F118" i="8"/>
  <c r="G118" i="8"/>
  <c r="H118" i="8"/>
  <c r="I118" i="8"/>
  <c r="J118" i="8"/>
  <c r="K118" i="8"/>
  <c r="B119" i="8"/>
  <c r="C119" i="8"/>
  <c r="D119" i="8"/>
  <c r="E119" i="8"/>
  <c r="F119" i="8"/>
  <c r="G119" i="8"/>
  <c r="H119" i="8"/>
  <c r="I119" i="8"/>
  <c r="J119" i="8"/>
  <c r="K119" i="8"/>
  <c r="B120" i="8"/>
  <c r="C120" i="8"/>
  <c r="D120" i="8"/>
  <c r="E120" i="8"/>
  <c r="F120" i="8"/>
  <c r="G120" i="8"/>
  <c r="H120" i="8"/>
  <c r="I120" i="8"/>
  <c r="J120" i="8"/>
  <c r="K120" i="8"/>
  <c r="B121" i="8"/>
  <c r="C121" i="8"/>
  <c r="D121" i="8"/>
  <c r="E121" i="8"/>
  <c r="F121" i="8"/>
  <c r="G121" i="8"/>
  <c r="H121" i="8"/>
  <c r="I121" i="8"/>
  <c r="J121" i="8"/>
  <c r="K121" i="8"/>
  <c r="B122" i="8"/>
  <c r="C122" i="8"/>
  <c r="D122" i="8"/>
  <c r="E122" i="8"/>
  <c r="F122" i="8"/>
  <c r="G122" i="8"/>
  <c r="H122" i="8"/>
  <c r="I122" i="8"/>
  <c r="J122" i="8"/>
  <c r="K122" i="8"/>
  <c r="B123" i="8"/>
  <c r="C123" i="8"/>
  <c r="D123" i="8"/>
  <c r="E123" i="8"/>
  <c r="F123" i="8"/>
  <c r="G123" i="8"/>
  <c r="H123" i="8"/>
  <c r="I123" i="8"/>
  <c r="J123" i="8"/>
  <c r="K123" i="8"/>
  <c r="B124" i="8"/>
  <c r="C124" i="8"/>
  <c r="D124" i="8"/>
  <c r="E124" i="8"/>
  <c r="F124" i="8"/>
  <c r="G124" i="8"/>
  <c r="H124" i="8"/>
  <c r="I124" i="8"/>
  <c r="J124" i="8"/>
  <c r="K124" i="8"/>
  <c r="B125" i="8"/>
  <c r="C125" i="8"/>
  <c r="D125" i="8"/>
  <c r="E125" i="8"/>
  <c r="F125" i="8"/>
  <c r="G125" i="8"/>
  <c r="H125" i="8"/>
  <c r="I125" i="8"/>
  <c r="J125" i="8"/>
  <c r="K125" i="8"/>
  <c r="B126" i="8"/>
  <c r="C126" i="8"/>
  <c r="D126" i="8"/>
  <c r="E126" i="8"/>
  <c r="F126" i="8"/>
  <c r="G126" i="8"/>
  <c r="H126" i="8"/>
  <c r="I126" i="8"/>
  <c r="J126" i="8"/>
  <c r="K126" i="8"/>
  <c r="B127" i="8"/>
  <c r="C127" i="8"/>
  <c r="D127" i="8"/>
  <c r="E127" i="8"/>
  <c r="F127" i="8"/>
  <c r="G127" i="8"/>
  <c r="H127" i="8"/>
  <c r="I127" i="8"/>
  <c r="J127" i="8"/>
  <c r="K127" i="8"/>
  <c r="B128" i="8"/>
  <c r="C128" i="8"/>
  <c r="D128" i="8"/>
  <c r="E128" i="8"/>
  <c r="F128" i="8"/>
  <c r="G128" i="8"/>
  <c r="H128" i="8"/>
  <c r="I128" i="8"/>
  <c r="J128" i="8"/>
  <c r="K128" i="8"/>
  <c r="B129" i="8"/>
  <c r="C129" i="8"/>
  <c r="D129" i="8"/>
  <c r="E129" i="8"/>
  <c r="F129" i="8"/>
  <c r="G129" i="8"/>
  <c r="H129" i="8"/>
  <c r="I129" i="8"/>
  <c r="J129" i="8"/>
  <c r="K129" i="8"/>
  <c r="B130" i="8"/>
  <c r="C130" i="8"/>
  <c r="D130" i="8"/>
  <c r="E130" i="8"/>
  <c r="F130" i="8"/>
  <c r="G130" i="8"/>
  <c r="H130" i="8"/>
  <c r="I130" i="8"/>
  <c r="J130" i="8"/>
  <c r="K130" i="8"/>
  <c r="B131" i="8"/>
  <c r="C131" i="8"/>
  <c r="D131" i="8"/>
  <c r="E131" i="8"/>
  <c r="F131" i="8"/>
  <c r="G131" i="8"/>
  <c r="H131" i="8"/>
  <c r="I131" i="8"/>
  <c r="J131" i="8"/>
  <c r="K131" i="8"/>
  <c r="B132" i="8"/>
  <c r="C132" i="8"/>
  <c r="D132" i="8"/>
  <c r="E132" i="8"/>
  <c r="F132" i="8"/>
  <c r="G132" i="8"/>
  <c r="H132" i="8"/>
  <c r="I132" i="8"/>
  <c r="J132" i="8"/>
  <c r="K132" i="8"/>
  <c r="B133" i="8"/>
  <c r="C133" i="8"/>
  <c r="D133" i="8"/>
  <c r="E133" i="8"/>
  <c r="F133" i="8"/>
  <c r="G133" i="8"/>
  <c r="H133" i="8"/>
  <c r="I133" i="8"/>
  <c r="J133" i="8"/>
  <c r="K133" i="8"/>
  <c r="B134" i="8"/>
  <c r="C134" i="8"/>
  <c r="D134" i="8"/>
  <c r="E134" i="8"/>
  <c r="F134" i="8"/>
  <c r="G134" i="8"/>
  <c r="H134" i="8"/>
  <c r="I134" i="8"/>
  <c r="J134" i="8"/>
  <c r="K134" i="8"/>
  <c r="B135" i="8"/>
  <c r="C135" i="8"/>
  <c r="D135" i="8"/>
  <c r="E135" i="8"/>
  <c r="F135" i="8"/>
  <c r="G135" i="8"/>
  <c r="H135" i="8"/>
  <c r="I135" i="8"/>
  <c r="J135" i="8"/>
  <c r="K135" i="8"/>
  <c r="B136" i="8"/>
  <c r="C136" i="8"/>
  <c r="D136" i="8"/>
  <c r="E136" i="8"/>
  <c r="F136" i="8"/>
  <c r="G136" i="8"/>
  <c r="H136" i="8"/>
  <c r="I136" i="8"/>
  <c r="J136" i="8"/>
  <c r="K136" i="8"/>
  <c r="B137" i="8"/>
  <c r="C137" i="8"/>
  <c r="D137" i="8"/>
  <c r="E137" i="8"/>
  <c r="F137" i="8"/>
  <c r="G137" i="8"/>
  <c r="H137" i="8"/>
  <c r="I137" i="8"/>
  <c r="J137" i="8"/>
  <c r="K137" i="8"/>
  <c r="B138" i="8"/>
  <c r="C138" i="8"/>
  <c r="D138" i="8"/>
  <c r="E138" i="8"/>
  <c r="F138" i="8"/>
  <c r="G138" i="8"/>
  <c r="H138" i="8"/>
  <c r="I138" i="8"/>
  <c r="J138" i="8"/>
  <c r="K138" i="8"/>
  <c r="B139" i="8"/>
  <c r="C139" i="8"/>
  <c r="D139" i="8"/>
  <c r="E139" i="8"/>
  <c r="F139" i="8"/>
  <c r="G139" i="8"/>
  <c r="H139" i="8"/>
  <c r="I139" i="8"/>
  <c r="J139" i="8"/>
  <c r="K139" i="8"/>
  <c r="B140" i="8"/>
  <c r="C140" i="8"/>
  <c r="D140" i="8"/>
  <c r="E140" i="8"/>
  <c r="F140" i="8"/>
  <c r="G140" i="8"/>
  <c r="H140" i="8"/>
  <c r="I140" i="8"/>
  <c r="J140" i="8"/>
  <c r="K140" i="8"/>
  <c r="B141" i="8"/>
  <c r="C141" i="8"/>
  <c r="D141" i="8"/>
  <c r="E141" i="8"/>
  <c r="F141" i="8"/>
  <c r="G141" i="8"/>
  <c r="H141" i="8"/>
  <c r="I141" i="8"/>
  <c r="J141" i="8"/>
  <c r="K141" i="8"/>
  <c r="B142" i="8"/>
  <c r="C142" i="8"/>
  <c r="D142" i="8"/>
  <c r="E142" i="8"/>
  <c r="F142" i="8"/>
  <c r="G142" i="8"/>
  <c r="H142" i="8"/>
  <c r="I142" i="8"/>
  <c r="J142" i="8"/>
  <c r="K142" i="8"/>
  <c r="B143" i="8"/>
  <c r="C143" i="8"/>
  <c r="D143" i="8"/>
  <c r="E143" i="8"/>
  <c r="F143" i="8"/>
  <c r="G143" i="8"/>
  <c r="H143" i="8"/>
  <c r="I143" i="8"/>
  <c r="J143" i="8"/>
  <c r="K143" i="8"/>
  <c r="B144" i="8"/>
  <c r="C144" i="8"/>
  <c r="D144" i="8"/>
  <c r="E144" i="8"/>
  <c r="F144" i="8"/>
  <c r="G144" i="8"/>
  <c r="H144" i="8"/>
  <c r="I144" i="8"/>
  <c r="J144" i="8"/>
  <c r="K144" i="8"/>
  <c r="B145" i="8"/>
  <c r="C145" i="8"/>
  <c r="D145" i="8"/>
  <c r="E145" i="8"/>
  <c r="F145" i="8"/>
  <c r="G145" i="8"/>
  <c r="H145" i="8"/>
  <c r="I145" i="8"/>
  <c r="J145" i="8"/>
  <c r="K145" i="8"/>
  <c r="B146" i="8"/>
  <c r="C146" i="8"/>
  <c r="D146" i="8"/>
  <c r="E146" i="8"/>
  <c r="F146" i="8"/>
  <c r="G146" i="8"/>
  <c r="H146" i="8"/>
  <c r="I146" i="8"/>
  <c r="J146" i="8"/>
  <c r="K146" i="8"/>
  <c r="B147" i="8"/>
  <c r="C147" i="8"/>
  <c r="D147" i="8"/>
  <c r="E147" i="8"/>
  <c r="F147" i="8"/>
  <c r="G147" i="8"/>
  <c r="H147" i="8"/>
  <c r="I147" i="8"/>
  <c r="J147" i="8"/>
  <c r="K147" i="8"/>
  <c r="B148" i="8"/>
  <c r="C148" i="8"/>
  <c r="D148" i="8"/>
  <c r="E148" i="8"/>
  <c r="F148" i="8"/>
  <c r="G148" i="8"/>
  <c r="H148" i="8"/>
  <c r="I148" i="8"/>
  <c r="J148" i="8"/>
  <c r="K148" i="8"/>
  <c r="B149" i="8"/>
  <c r="C149" i="8"/>
  <c r="D149" i="8"/>
  <c r="E149" i="8"/>
  <c r="F149" i="8"/>
  <c r="G149" i="8"/>
  <c r="H149" i="8"/>
  <c r="I149" i="8"/>
  <c r="J149" i="8"/>
  <c r="K149" i="8"/>
  <c r="B150" i="8"/>
  <c r="C150" i="8"/>
  <c r="D150" i="8"/>
  <c r="E150" i="8"/>
  <c r="F150" i="8"/>
  <c r="G150" i="8"/>
  <c r="H150" i="8"/>
  <c r="I150" i="8"/>
  <c r="J150" i="8"/>
  <c r="K150" i="8"/>
  <c r="B151" i="8"/>
  <c r="C151" i="8"/>
  <c r="D151" i="8"/>
  <c r="E151" i="8"/>
  <c r="F151" i="8"/>
  <c r="G151" i="8"/>
  <c r="H151" i="8"/>
  <c r="I151" i="8"/>
  <c r="J151" i="8"/>
  <c r="K151" i="8"/>
  <c r="B152" i="8"/>
  <c r="C152" i="8"/>
  <c r="D152" i="8"/>
  <c r="E152" i="8"/>
  <c r="F152" i="8"/>
  <c r="G152" i="8"/>
  <c r="H152" i="8"/>
  <c r="I152" i="8"/>
  <c r="J152" i="8"/>
  <c r="K152" i="8"/>
  <c r="B153" i="8"/>
  <c r="C153" i="8"/>
  <c r="D153" i="8"/>
  <c r="E153" i="8"/>
  <c r="F153" i="8"/>
  <c r="G153" i="8"/>
  <c r="H153" i="8"/>
  <c r="I153" i="8"/>
  <c r="J153" i="8"/>
  <c r="K153" i="8"/>
  <c r="B154" i="8"/>
  <c r="C154" i="8"/>
  <c r="D154" i="8"/>
  <c r="E154" i="8"/>
  <c r="F154" i="8"/>
  <c r="G154" i="8"/>
  <c r="H154" i="8"/>
  <c r="I154" i="8"/>
  <c r="J154" i="8"/>
  <c r="K154" i="8"/>
  <c r="B155" i="8"/>
  <c r="C155" i="8"/>
  <c r="D155" i="8"/>
  <c r="E155" i="8"/>
  <c r="F155" i="8"/>
  <c r="G155" i="8"/>
  <c r="H155" i="8"/>
  <c r="I155" i="8"/>
  <c r="J155" i="8"/>
  <c r="K155" i="8"/>
  <c r="B156" i="8"/>
  <c r="C156" i="8"/>
  <c r="D156" i="8"/>
  <c r="E156" i="8"/>
  <c r="F156" i="8"/>
  <c r="G156" i="8"/>
  <c r="H156" i="8"/>
  <c r="I156" i="8"/>
  <c r="J156" i="8"/>
  <c r="K156" i="8"/>
  <c r="B157" i="8"/>
  <c r="C157" i="8"/>
  <c r="D157" i="8"/>
  <c r="E157" i="8"/>
  <c r="F157" i="8"/>
  <c r="G157" i="8"/>
  <c r="H157" i="8"/>
  <c r="I157" i="8"/>
  <c r="J157" i="8"/>
  <c r="K157" i="8"/>
  <c r="B158" i="8"/>
  <c r="C158" i="8"/>
  <c r="D158" i="8"/>
  <c r="E158" i="8"/>
  <c r="F158" i="8"/>
  <c r="G158" i="8"/>
  <c r="H158" i="8"/>
  <c r="I158" i="8"/>
  <c r="J158" i="8"/>
  <c r="K158" i="8"/>
  <c r="B159" i="8"/>
  <c r="C159" i="8"/>
  <c r="D159" i="8"/>
  <c r="E159" i="8"/>
  <c r="F159" i="8"/>
  <c r="G159" i="8"/>
  <c r="H159" i="8"/>
  <c r="I159" i="8"/>
  <c r="J159" i="8"/>
  <c r="K159" i="8"/>
  <c r="B160" i="8"/>
  <c r="C160" i="8"/>
  <c r="D160" i="8"/>
  <c r="E160" i="8"/>
  <c r="F160" i="8"/>
  <c r="G160" i="8"/>
  <c r="H160" i="8"/>
  <c r="I160" i="8"/>
  <c r="J160" i="8"/>
  <c r="K160" i="8"/>
  <c r="B161" i="8"/>
  <c r="C161" i="8"/>
  <c r="D161" i="8"/>
  <c r="E161" i="8"/>
  <c r="F161" i="8"/>
  <c r="G161" i="8"/>
  <c r="H161" i="8"/>
  <c r="I161" i="8"/>
  <c r="J161" i="8"/>
  <c r="K161" i="8"/>
  <c r="B162" i="8"/>
  <c r="C162" i="8"/>
  <c r="D162" i="8"/>
  <c r="E162" i="8"/>
  <c r="F162" i="8"/>
  <c r="G162" i="8"/>
  <c r="H162" i="8"/>
  <c r="I162" i="8"/>
  <c r="J162" i="8"/>
  <c r="K162" i="8"/>
  <c r="B163" i="8"/>
  <c r="C163" i="8"/>
  <c r="D163" i="8"/>
  <c r="E163" i="8"/>
  <c r="F163" i="8"/>
  <c r="G163" i="8"/>
  <c r="H163" i="8"/>
  <c r="I163" i="8"/>
  <c r="J163" i="8"/>
  <c r="K163" i="8"/>
  <c r="B164" i="8"/>
  <c r="C164" i="8"/>
  <c r="D164" i="8"/>
  <c r="E164" i="8"/>
  <c r="F164" i="8"/>
  <c r="G164" i="8"/>
  <c r="H164" i="8"/>
  <c r="I164" i="8"/>
  <c r="J164" i="8"/>
  <c r="K164" i="8"/>
  <c r="B165" i="8"/>
  <c r="C165" i="8"/>
  <c r="D165" i="8"/>
  <c r="E165" i="8"/>
  <c r="F165" i="8"/>
  <c r="G165" i="8"/>
  <c r="H165" i="8"/>
  <c r="I165" i="8"/>
  <c r="J165" i="8"/>
  <c r="K165" i="8"/>
  <c r="B166" i="8"/>
  <c r="C166" i="8"/>
  <c r="D166" i="8"/>
  <c r="E166" i="8"/>
  <c r="F166" i="8"/>
  <c r="G166" i="8"/>
  <c r="H166" i="8"/>
  <c r="I166" i="8"/>
  <c r="J166" i="8"/>
  <c r="K166" i="8"/>
  <c r="B167" i="8"/>
  <c r="C167" i="8"/>
  <c r="D167" i="8"/>
  <c r="E167" i="8"/>
  <c r="F167" i="8"/>
  <c r="G167" i="8"/>
  <c r="H167" i="8"/>
  <c r="I167" i="8"/>
  <c r="J167" i="8"/>
  <c r="K167" i="8"/>
  <c r="B168" i="8"/>
  <c r="C168" i="8"/>
  <c r="D168" i="8"/>
  <c r="E168" i="8"/>
  <c r="F168" i="8"/>
  <c r="G168" i="8"/>
  <c r="H168" i="8"/>
  <c r="I168" i="8"/>
  <c r="J168" i="8"/>
  <c r="K168" i="8"/>
  <c r="B169" i="8"/>
  <c r="C169" i="8"/>
  <c r="D169" i="8"/>
  <c r="E169" i="8"/>
  <c r="F169" i="8"/>
  <c r="G169" i="8"/>
  <c r="H169" i="8"/>
  <c r="I169" i="8"/>
  <c r="J169" i="8"/>
  <c r="K169" i="8"/>
  <c r="B170" i="8"/>
  <c r="C170" i="8"/>
  <c r="D170" i="8"/>
  <c r="E170" i="8"/>
  <c r="F170" i="8"/>
  <c r="G170" i="8"/>
  <c r="H170" i="8"/>
  <c r="I170" i="8"/>
  <c r="J170" i="8"/>
  <c r="K170" i="8"/>
  <c r="B171" i="8"/>
  <c r="C171" i="8"/>
  <c r="D171" i="8"/>
  <c r="E171" i="8"/>
  <c r="F171" i="8"/>
  <c r="G171" i="8"/>
  <c r="H171" i="8"/>
  <c r="I171" i="8"/>
  <c r="J171" i="8"/>
  <c r="K171" i="8"/>
  <c r="B172" i="8"/>
  <c r="C172" i="8"/>
  <c r="D172" i="8"/>
  <c r="E172" i="8"/>
  <c r="F172" i="8"/>
  <c r="G172" i="8"/>
  <c r="H172" i="8"/>
  <c r="I172" i="8"/>
  <c r="J172" i="8"/>
  <c r="K172" i="8"/>
  <c r="B173" i="8"/>
  <c r="C173" i="8"/>
  <c r="D173" i="8"/>
  <c r="E173" i="8"/>
  <c r="F173" i="8"/>
  <c r="G173" i="8"/>
  <c r="H173" i="8"/>
  <c r="I173" i="8"/>
  <c r="J173" i="8"/>
  <c r="K173" i="8"/>
  <c r="B174" i="8"/>
  <c r="C174" i="8"/>
  <c r="D174" i="8"/>
  <c r="E174" i="8"/>
  <c r="F174" i="8"/>
  <c r="G174" i="8"/>
  <c r="H174" i="8"/>
  <c r="I174" i="8"/>
  <c r="J174" i="8"/>
  <c r="K174" i="8"/>
  <c r="B175" i="8"/>
  <c r="C175" i="8"/>
  <c r="D175" i="8"/>
  <c r="E175" i="8"/>
  <c r="F175" i="8"/>
  <c r="G175" i="8"/>
  <c r="H175" i="8"/>
  <c r="I175" i="8"/>
  <c r="J175" i="8"/>
  <c r="K175" i="8"/>
  <c r="B176" i="8"/>
  <c r="C176" i="8"/>
  <c r="D176" i="8"/>
  <c r="E176" i="8"/>
  <c r="F176" i="8"/>
  <c r="G176" i="8"/>
  <c r="H176" i="8"/>
  <c r="I176" i="8"/>
  <c r="J176" i="8"/>
  <c r="K176" i="8"/>
  <c r="B177" i="8"/>
  <c r="C177" i="8"/>
  <c r="D177" i="8"/>
  <c r="E177" i="8"/>
  <c r="F177" i="8"/>
  <c r="G177" i="8"/>
  <c r="H177" i="8"/>
  <c r="I177" i="8"/>
  <c r="J177" i="8"/>
  <c r="K177" i="8"/>
  <c r="B178" i="8"/>
  <c r="C178" i="8"/>
  <c r="D178" i="8"/>
  <c r="E178" i="8"/>
  <c r="F178" i="8"/>
  <c r="G178" i="8"/>
  <c r="H178" i="8"/>
  <c r="I178" i="8"/>
  <c r="J178" i="8"/>
  <c r="K178" i="8"/>
  <c r="B179" i="8"/>
  <c r="C179" i="8"/>
  <c r="D179" i="8"/>
  <c r="E179" i="8"/>
  <c r="F179" i="8"/>
  <c r="G179" i="8"/>
  <c r="H179" i="8"/>
  <c r="I179" i="8"/>
  <c r="J179" i="8"/>
  <c r="K179" i="8"/>
  <c r="B180" i="8"/>
  <c r="C180" i="8"/>
  <c r="D180" i="8"/>
  <c r="E180" i="8"/>
  <c r="F180" i="8"/>
  <c r="G180" i="8"/>
  <c r="H180" i="8"/>
  <c r="I180" i="8"/>
  <c r="J180" i="8"/>
  <c r="K180" i="8"/>
  <c r="B181" i="8"/>
  <c r="C181" i="8"/>
  <c r="D181" i="8"/>
  <c r="E181" i="8"/>
  <c r="F181" i="8"/>
  <c r="G181" i="8"/>
  <c r="H181" i="8"/>
  <c r="I181" i="8"/>
  <c r="J181" i="8"/>
  <c r="K181" i="8"/>
  <c r="B182" i="8"/>
  <c r="C182" i="8"/>
  <c r="D182" i="8"/>
  <c r="E182" i="8"/>
  <c r="F182" i="8"/>
  <c r="G182" i="8"/>
  <c r="H182" i="8"/>
  <c r="I182" i="8"/>
  <c r="J182" i="8"/>
  <c r="K182" i="8"/>
  <c r="B183" i="8"/>
  <c r="C183" i="8"/>
  <c r="D183" i="8"/>
  <c r="E183" i="8"/>
  <c r="F183" i="8"/>
  <c r="G183" i="8"/>
  <c r="H183" i="8"/>
  <c r="I183" i="8"/>
  <c r="J183" i="8"/>
  <c r="K183" i="8"/>
  <c r="B184" i="8"/>
  <c r="C184" i="8"/>
  <c r="D184" i="8"/>
  <c r="E184" i="8"/>
  <c r="F184" i="8"/>
  <c r="G184" i="8"/>
  <c r="H184" i="8"/>
  <c r="I184" i="8"/>
  <c r="J184" i="8"/>
  <c r="K184" i="8"/>
  <c r="B185" i="8"/>
  <c r="C185" i="8"/>
  <c r="D185" i="8"/>
  <c r="E185" i="8"/>
  <c r="F185" i="8"/>
  <c r="G185" i="8"/>
  <c r="H185" i="8"/>
  <c r="I185" i="8"/>
  <c r="J185" i="8"/>
  <c r="K185" i="8"/>
  <c r="B186" i="8"/>
  <c r="C186" i="8"/>
  <c r="D186" i="8"/>
  <c r="E186" i="8"/>
  <c r="F186" i="8"/>
  <c r="G186" i="8"/>
  <c r="H186" i="8"/>
  <c r="I186" i="8"/>
  <c r="J186" i="8"/>
  <c r="K186" i="8"/>
  <c r="B187" i="8"/>
  <c r="C187" i="8"/>
  <c r="D187" i="8"/>
  <c r="E187" i="8"/>
  <c r="F187" i="8"/>
  <c r="G187" i="8"/>
  <c r="H187" i="8"/>
  <c r="I187" i="8"/>
  <c r="J187" i="8"/>
  <c r="K187" i="8"/>
  <c r="B188" i="8"/>
  <c r="C188" i="8"/>
  <c r="D188" i="8"/>
  <c r="E188" i="8"/>
  <c r="F188" i="8"/>
  <c r="G188" i="8"/>
  <c r="H188" i="8"/>
  <c r="I188" i="8"/>
  <c r="J188" i="8"/>
  <c r="K188" i="8"/>
  <c r="B189" i="8"/>
  <c r="C189" i="8"/>
  <c r="D189" i="8"/>
  <c r="E189" i="8"/>
  <c r="F189" i="8"/>
  <c r="G189" i="8"/>
  <c r="H189" i="8"/>
  <c r="I189" i="8"/>
  <c r="J189" i="8"/>
  <c r="K189" i="8"/>
  <c r="B190" i="8"/>
  <c r="C190" i="8"/>
  <c r="D190" i="8"/>
  <c r="E190" i="8"/>
  <c r="F190" i="8"/>
  <c r="G190" i="8"/>
  <c r="H190" i="8"/>
  <c r="I190" i="8"/>
  <c r="J190" i="8"/>
  <c r="K190" i="8"/>
  <c r="B191" i="8"/>
  <c r="C191" i="8"/>
  <c r="D191" i="8"/>
  <c r="E191" i="8"/>
  <c r="F191" i="8"/>
  <c r="G191" i="8"/>
  <c r="H191" i="8"/>
  <c r="I191" i="8"/>
  <c r="J191" i="8"/>
  <c r="K191" i="8"/>
  <c r="B192" i="8"/>
  <c r="C192" i="8"/>
  <c r="D192" i="8"/>
  <c r="E192" i="8"/>
  <c r="F192" i="8"/>
  <c r="G192" i="8"/>
  <c r="H192" i="8"/>
  <c r="I192" i="8"/>
  <c r="J192" i="8"/>
  <c r="K192" i="8"/>
  <c r="B193" i="8"/>
  <c r="C193" i="8"/>
  <c r="D193" i="8"/>
  <c r="E193" i="8"/>
  <c r="F193" i="8"/>
  <c r="G193" i="8"/>
  <c r="H193" i="8"/>
  <c r="I193" i="8"/>
  <c r="J193" i="8"/>
  <c r="K193" i="8"/>
  <c r="B194" i="8"/>
  <c r="C194" i="8"/>
  <c r="D194" i="8"/>
  <c r="E194" i="8"/>
  <c r="F194" i="8"/>
  <c r="G194" i="8"/>
  <c r="H194" i="8"/>
  <c r="I194" i="8"/>
  <c r="J194" i="8"/>
  <c r="K194" i="8"/>
  <c r="B195" i="8"/>
  <c r="C195" i="8"/>
  <c r="D195" i="8"/>
  <c r="E195" i="8"/>
  <c r="F195" i="8"/>
  <c r="G195" i="8"/>
  <c r="H195" i="8"/>
  <c r="I195" i="8"/>
  <c r="J195" i="8"/>
  <c r="K195" i="8"/>
  <c r="B196" i="8"/>
  <c r="C196" i="8"/>
  <c r="D196" i="8"/>
  <c r="E196" i="8"/>
  <c r="F196" i="8"/>
  <c r="G196" i="8"/>
  <c r="H196" i="8"/>
  <c r="I196" i="8"/>
  <c r="J196" i="8"/>
  <c r="K196" i="8"/>
  <c r="B197" i="8"/>
  <c r="C197" i="8"/>
  <c r="D197" i="8"/>
  <c r="E197" i="8"/>
  <c r="F197" i="8"/>
  <c r="G197" i="8"/>
  <c r="H197" i="8"/>
  <c r="I197" i="8"/>
  <c r="J197" i="8"/>
  <c r="K197" i="8"/>
  <c r="B198" i="8"/>
  <c r="C198" i="8"/>
  <c r="D198" i="8"/>
  <c r="E198" i="8"/>
  <c r="F198" i="8"/>
  <c r="G198" i="8"/>
  <c r="H198" i="8"/>
  <c r="I198" i="8"/>
  <c r="J198" i="8"/>
  <c r="K198" i="8"/>
  <c r="B199" i="8"/>
  <c r="C199" i="8"/>
  <c r="D199" i="8"/>
  <c r="E199" i="8"/>
  <c r="F199" i="8"/>
  <c r="G199" i="8"/>
  <c r="H199" i="8"/>
  <c r="I199" i="8"/>
  <c r="J199" i="8"/>
  <c r="K199" i="8"/>
  <c r="B200" i="8"/>
  <c r="C200" i="8"/>
  <c r="D200" i="8"/>
  <c r="E200" i="8"/>
  <c r="F200" i="8"/>
  <c r="G200" i="8"/>
  <c r="H200" i="8"/>
  <c r="I200" i="8"/>
  <c r="J200" i="8"/>
  <c r="K200" i="8"/>
  <c r="B201" i="8"/>
  <c r="C201" i="8"/>
  <c r="D201" i="8"/>
  <c r="E201" i="8"/>
  <c r="F201" i="8"/>
  <c r="G201" i="8"/>
  <c r="H201" i="8"/>
  <c r="I201" i="8"/>
  <c r="J201" i="8"/>
  <c r="K201" i="8"/>
  <c r="B202" i="8"/>
  <c r="C202" i="8"/>
  <c r="D202" i="8"/>
  <c r="E202" i="8"/>
  <c r="F202" i="8"/>
  <c r="G202" i="8"/>
  <c r="H202" i="8"/>
  <c r="I202" i="8"/>
  <c r="J202" i="8"/>
  <c r="K202" i="8"/>
  <c r="B203" i="8"/>
  <c r="C203" i="8"/>
  <c r="D203" i="8"/>
  <c r="E203" i="8"/>
  <c r="F203" i="8"/>
  <c r="G203" i="8"/>
  <c r="H203" i="8"/>
  <c r="I203" i="8"/>
  <c r="J203" i="8"/>
  <c r="K203" i="8"/>
  <c r="B204" i="8"/>
  <c r="C204" i="8"/>
  <c r="D204" i="8"/>
  <c r="E204" i="8"/>
  <c r="F204" i="8"/>
  <c r="G204" i="8"/>
  <c r="H204" i="8"/>
  <c r="I204" i="8"/>
  <c r="J204" i="8"/>
  <c r="K204" i="8"/>
  <c r="B205" i="8"/>
  <c r="C205" i="8"/>
  <c r="D205" i="8"/>
  <c r="E205" i="8"/>
  <c r="F205" i="8"/>
  <c r="G205" i="8"/>
  <c r="H205" i="8"/>
  <c r="I205" i="8"/>
  <c r="J205" i="8"/>
  <c r="K205" i="8"/>
  <c r="B206" i="8"/>
  <c r="C206" i="8"/>
  <c r="D206" i="8"/>
  <c r="E206" i="8"/>
  <c r="F206" i="8"/>
  <c r="G206" i="8"/>
  <c r="H206" i="8"/>
  <c r="I206" i="8"/>
  <c r="J206" i="8"/>
  <c r="K206" i="8"/>
  <c r="B207" i="8"/>
  <c r="C207" i="8"/>
  <c r="D207" i="8"/>
  <c r="E207" i="8"/>
  <c r="F207" i="8"/>
  <c r="G207" i="8"/>
  <c r="H207" i="8"/>
  <c r="I207" i="8"/>
  <c r="J207" i="8"/>
  <c r="K207" i="8"/>
  <c r="B208" i="8"/>
  <c r="C208" i="8"/>
  <c r="D208" i="8"/>
  <c r="E208" i="8"/>
  <c r="F208" i="8"/>
  <c r="G208" i="8"/>
  <c r="H208" i="8"/>
  <c r="I208" i="8"/>
  <c r="J208" i="8"/>
  <c r="K208" i="8"/>
  <c r="B209" i="8"/>
  <c r="C209" i="8"/>
  <c r="D209" i="8"/>
  <c r="E209" i="8"/>
  <c r="F209" i="8"/>
  <c r="G209" i="8"/>
  <c r="H209" i="8"/>
  <c r="I209" i="8"/>
  <c r="J209" i="8"/>
  <c r="K209" i="8"/>
  <c r="B210" i="8"/>
  <c r="C210" i="8"/>
  <c r="D210" i="8"/>
  <c r="E210" i="8"/>
  <c r="F210" i="8"/>
  <c r="G210" i="8"/>
  <c r="H210" i="8"/>
  <c r="I210" i="8"/>
  <c r="J210" i="8"/>
  <c r="K210" i="8"/>
  <c r="B211" i="8"/>
  <c r="C211" i="8"/>
  <c r="D211" i="8"/>
  <c r="E211" i="8"/>
  <c r="F211" i="8"/>
  <c r="G211" i="8"/>
  <c r="H211" i="8"/>
  <c r="I211" i="8"/>
  <c r="J211" i="8"/>
  <c r="K211" i="8"/>
  <c r="B212" i="8"/>
  <c r="C212" i="8"/>
  <c r="D212" i="8"/>
  <c r="E212" i="8"/>
  <c r="F212" i="8"/>
  <c r="G212" i="8"/>
  <c r="H212" i="8"/>
  <c r="I212" i="8"/>
  <c r="J212" i="8"/>
  <c r="K212" i="8"/>
  <c r="B213" i="8"/>
  <c r="C213" i="8"/>
  <c r="D213" i="8"/>
  <c r="E213" i="8"/>
  <c r="F213" i="8"/>
  <c r="G213" i="8"/>
  <c r="H213" i="8"/>
  <c r="I213" i="8"/>
  <c r="J213" i="8"/>
  <c r="K213" i="8"/>
  <c r="B214" i="8"/>
  <c r="C214" i="8"/>
  <c r="D214" i="8"/>
  <c r="E214" i="8"/>
  <c r="F214" i="8"/>
  <c r="G214" i="8"/>
  <c r="H214" i="8"/>
  <c r="I214" i="8"/>
  <c r="J214" i="8"/>
  <c r="K214" i="8"/>
  <c r="B215" i="8"/>
  <c r="C215" i="8"/>
  <c r="D215" i="8"/>
  <c r="E215" i="8"/>
  <c r="F215" i="8"/>
  <c r="G215" i="8"/>
  <c r="H215" i="8"/>
  <c r="I215" i="8"/>
  <c r="J215" i="8"/>
  <c r="K215" i="8"/>
  <c r="B216" i="8"/>
  <c r="C216" i="8"/>
  <c r="D216" i="8"/>
  <c r="E216" i="8"/>
  <c r="F216" i="8"/>
  <c r="G216" i="8"/>
  <c r="H216" i="8"/>
  <c r="I216" i="8"/>
  <c r="J216" i="8"/>
  <c r="K216" i="8"/>
  <c r="B217" i="8"/>
  <c r="C217" i="8"/>
  <c r="D217" i="8"/>
  <c r="E217" i="8"/>
  <c r="F217" i="8"/>
  <c r="G217" i="8"/>
  <c r="H217" i="8"/>
  <c r="I217" i="8"/>
  <c r="J217" i="8"/>
  <c r="K217" i="8"/>
  <c r="B218" i="8"/>
  <c r="C218" i="8"/>
  <c r="D218" i="8"/>
  <c r="E218" i="8"/>
  <c r="F218" i="8"/>
  <c r="G218" i="8"/>
  <c r="H218" i="8"/>
  <c r="I218" i="8"/>
  <c r="J218" i="8"/>
  <c r="K218" i="8"/>
  <c r="B219" i="8"/>
  <c r="C219" i="8"/>
  <c r="D219" i="8"/>
  <c r="E219" i="8"/>
  <c r="F219" i="8"/>
  <c r="G219" i="8"/>
  <c r="H219" i="8"/>
  <c r="I219" i="8"/>
  <c r="J219" i="8"/>
  <c r="K219" i="8"/>
  <c r="B220" i="8"/>
  <c r="C220" i="8"/>
  <c r="D220" i="8"/>
  <c r="E220" i="8"/>
  <c r="F220" i="8"/>
  <c r="G220" i="8"/>
  <c r="H220" i="8"/>
  <c r="I220" i="8"/>
  <c r="J220" i="8"/>
  <c r="K220" i="8"/>
  <c r="B221" i="8"/>
  <c r="C221" i="8"/>
  <c r="D221" i="8"/>
  <c r="E221" i="8"/>
  <c r="F221" i="8"/>
  <c r="G221" i="8"/>
  <c r="H221" i="8"/>
  <c r="I221" i="8"/>
  <c r="J221" i="8"/>
  <c r="K221" i="8"/>
  <c r="B222" i="8"/>
  <c r="C222" i="8"/>
  <c r="D222" i="8"/>
  <c r="E222" i="8"/>
  <c r="F222" i="8"/>
  <c r="G222" i="8"/>
  <c r="H222" i="8"/>
  <c r="I222" i="8"/>
  <c r="J222" i="8"/>
  <c r="K222" i="8"/>
  <c r="B223" i="8"/>
  <c r="C223" i="8"/>
  <c r="D223" i="8"/>
  <c r="E223" i="8"/>
  <c r="F223" i="8"/>
  <c r="G223" i="8"/>
  <c r="H223" i="8"/>
  <c r="I223" i="8"/>
  <c r="J223" i="8"/>
  <c r="K223" i="8"/>
  <c r="B224" i="8"/>
  <c r="C224" i="8"/>
  <c r="D224" i="8"/>
  <c r="E224" i="8"/>
  <c r="F224" i="8"/>
  <c r="G224" i="8"/>
  <c r="H224" i="8"/>
  <c r="I224" i="8"/>
  <c r="J224" i="8"/>
  <c r="K224" i="8"/>
  <c r="B225" i="8"/>
  <c r="C225" i="8"/>
  <c r="D225" i="8"/>
  <c r="E225" i="8"/>
  <c r="F225" i="8"/>
  <c r="G225" i="8"/>
  <c r="H225" i="8"/>
  <c r="I225" i="8"/>
  <c r="J225" i="8"/>
  <c r="K225" i="8"/>
  <c r="C3" i="8"/>
  <c r="D3" i="8"/>
  <c r="E3" i="8"/>
  <c r="F3" i="8"/>
  <c r="G3" i="8"/>
  <c r="H3" i="8"/>
  <c r="I3" i="8"/>
  <c r="J3" i="8"/>
  <c r="K3" i="8"/>
  <c r="B3" i="8"/>
  <c r="M4" i="7"/>
  <c r="M3" i="7"/>
  <c r="B4" i="7"/>
  <c r="C4" i="7"/>
  <c r="D4" i="7"/>
  <c r="E4" i="7"/>
  <c r="F4" i="7"/>
  <c r="G4" i="7"/>
  <c r="H4" i="7"/>
  <c r="I4" i="7"/>
  <c r="J4" i="7"/>
  <c r="K4" i="7"/>
  <c r="B5" i="7"/>
  <c r="C5" i="7"/>
  <c r="D5" i="7"/>
  <c r="E5" i="7"/>
  <c r="F5" i="7"/>
  <c r="G5" i="7"/>
  <c r="H5" i="7"/>
  <c r="I5" i="7"/>
  <c r="J5" i="7"/>
  <c r="K5" i="7"/>
  <c r="B6" i="7"/>
  <c r="C6" i="7"/>
  <c r="D6" i="7"/>
  <c r="E6" i="7"/>
  <c r="F6" i="7"/>
  <c r="G6" i="7"/>
  <c r="H6" i="7"/>
  <c r="I6" i="7"/>
  <c r="J6" i="7"/>
  <c r="K6" i="7"/>
  <c r="B7" i="7"/>
  <c r="C7" i="7"/>
  <c r="D7" i="7"/>
  <c r="E7" i="7"/>
  <c r="F7" i="7"/>
  <c r="G7" i="7"/>
  <c r="H7" i="7"/>
  <c r="I7" i="7"/>
  <c r="J7" i="7"/>
  <c r="K7" i="7"/>
  <c r="B8" i="7"/>
  <c r="C8" i="7"/>
  <c r="D8" i="7"/>
  <c r="E8" i="7"/>
  <c r="F8" i="7"/>
  <c r="G8" i="7"/>
  <c r="H8" i="7"/>
  <c r="I8" i="7"/>
  <c r="J8" i="7"/>
  <c r="K8" i="7"/>
  <c r="B9" i="7"/>
  <c r="C9" i="7"/>
  <c r="D9" i="7"/>
  <c r="E9" i="7"/>
  <c r="F9" i="7"/>
  <c r="G9" i="7"/>
  <c r="H9" i="7"/>
  <c r="I9" i="7"/>
  <c r="J9" i="7"/>
  <c r="K9" i="7"/>
  <c r="B10" i="7"/>
  <c r="C10" i="7"/>
  <c r="D10" i="7"/>
  <c r="E10" i="7"/>
  <c r="F10" i="7"/>
  <c r="G10" i="7"/>
  <c r="H10" i="7"/>
  <c r="I10" i="7"/>
  <c r="J10" i="7"/>
  <c r="K10" i="7"/>
  <c r="B11" i="7"/>
  <c r="C11" i="7"/>
  <c r="D11" i="7"/>
  <c r="E11" i="7"/>
  <c r="F11" i="7"/>
  <c r="G11" i="7"/>
  <c r="H11" i="7"/>
  <c r="I11" i="7"/>
  <c r="J11" i="7"/>
  <c r="K11" i="7"/>
  <c r="B12" i="7"/>
  <c r="C12" i="7"/>
  <c r="D12" i="7"/>
  <c r="E12" i="7"/>
  <c r="F12" i="7"/>
  <c r="G12" i="7"/>
  <c r="H12" i="7"/>
  <c r="I12" i="7"/>
  <c r="J12" i="7"/>
  <c r="K12" i="7"/>
  <c r="B13" i="7"/>
  <c r="C13" i="7"/>
  <c r="D13" i="7"/>
  <c r="E13" i="7"/>
  <c r="F13" i="7"/>
  <c r="G13" i="7"/>
  <c r="H13" i="7"/>
  <c r="I13" i="7"/>
  <c r="J13" i="7"/>
  <c r="K13" i="7"/>
  <c r="B14" i="7"/>
  <c r="C14" i="7"/>
  <c r="D14" i="7"/>
  <c r="E14" i="7"/>
  <c r="F14" i="7"/>
  <c r="G14" i="7"/>
  <c r="H14" i="7"/>
  <c r="I14" i="7"/>
  <c r="J14" i="7"/>
  <c r="K14" i="7"/>
  <c r="B15" i="7"/>
  <c r="C15" i="7"/>
  <c r="D15" i="7"/>
  <c r="E15" i="7"/>
  <c r="F15" i="7"/>
  <c r="G15" i="7"/>
  <c r="H15" i="7"/>
  <c r="I15" i="7"/>
  <c r="J15" i="7"/>
  <c r="K15" i="7"/>
  <c r="B16" i="7"/>
  <c r="C16" i="7"/>
  <c r="D16" i="7"/>
  <c r="E16" i="7"/>
  <c r="F16" i="7"/>
  <c r="G16" i="7"/>
  <c r="H16" i="7"/>
  <c r="I16" i="7"/>
  <c r="J16" i="7"/>
  <c r="K16" i="7"/>
  <c r="B17" i="7"/>
  <c r="C17" i="7"/>
  <c r="D17" i="7"/>
  <c r="E17" i="7"/>
  <c r="F17" i="7"/>
  <c r="G17" i="7"/>
  <c r="H17" i="7"/>
  <c r="I17" i="7"/>
  <c r="J17" i="7"/>
  <c r="K17" i="7"/>
  <c r="B18" i="7"/>
  <c r="C18" i="7"/>
  <c r="D18" i="7"/>
  <c r="E18" i="7"/>
  <c r="F18" i="7"/>
  <c r="G18" i="7"/>
  <c r="H18" i="7"/>
  <c r="I18" i="7"/>
  <c r="J18" i="7"/>
  <c r="K18" i="7"/>
  <c r="B19" i="7"/>
  <c r="C19" i="7"/>
  <c r="D19" i="7"/>
  <c r="E19" i="7"/>
  <c r="F19" i="7"/>
  <c r="G19" i="7"/>
  <c r="H19" i="7"/>
  <c r="I19" i="7"/>
  <c r="J19" i="7"/>
  <c r="K19" i="7"/>
  <c r="B20" i="7"/>
  <c r="C20" i="7"/>
  <c r="D20" i="7"/>
  <c r="E20" i="7"/>
  <c r="F20" i="7"/>
  <c r="G20" i="7"/>
  <c r="H20" i="7"/>
  <c r="I20" i="7"/>
  <c r="J20" i="7"/>
  <c r="K20" i="7"/>
  <c r="B21" i="7"/>
  <c r="C21" i="7"/>
  <c r="D21" i="7"/>
  <c r="E21" i="7"/>
  <c r="F21" i="7"/>
  <c r="G21" i="7"/>
  <c r="H21" i="7"/>
  <c r="I21" i="7"/>
  <c r="J21" i="7"/>
  <c r="K21" i="7"/>
  <c r="B22" i="7"/>
  <c r="C22" i="7"/>
  <c r="D22" i="7"/>
  <c r="E22" i="7"/>
  <c r="F22" i="7"/>
  <c r="G22" i="7"/>
  <c r="H22" i="7"/>
  <c r="I22" i="7"/>
  <c r="J22" i="7"/>
  <c r="K22" i="7"/>
  <c r="B23" i="7"/>
  <c r="C23" i="7"/>
  <c r="D23" i="7"/>
  <c r="E23" i="7"/>
  <c r="F23" i="7"/>
  <c r="G23" i="7"/>
  <c r="H23" i="7"/>
  <c r="I23" i="7"/>
  <c r="J23" i="7"/>
  <c r="K23" i="7"/>
  <c r="B24" i="7"/>
  <c r="C24" i="7"/>
  <c r="D24" i="7"/>
  <c r="E24" i="7"/>
  <c r="F24" i="7"/>
  <c r="G24" i="7"/>
  <c r="H24" i="7"/>
  <c r="I24" i="7"/>
  <c r="J24" i="7"/>
  <c r="K24" i="7"/>
  <c r="B25" i="7"/>
  <c r="C25" i="7"/>
  <c r="D25" i="7"/>
  <c r="E25" i="7"/>
  <c r="F25" i="7"/>
  <c r="G25" i="7"/>
  <c r="H25" i="7"/>
  <c r="I25" i="7"/>
  <c r="J25" i="7"/>
  <c r="K25" i="7"/>
  <c r="B26" i="7"/>
  <c r="C26" i="7"/>
  <c r="D26" i="7"/>
  <c r="E26" i="7"/>
  <c r="F26" i="7"/>
  <c r="G26" i="7"/>
  <c r="H26" i="7"/>
  <c r="I26" i="7"/>
  <c r="J26" i="7"/>
  <c r="K26" i="7"/>
  <c r="B27" i="7"/>
  <c r="C27" i="7"/>
  <c r="D27" i="7"/>
  <c r="E27" i="7"/>
  <c r="F27" i="7"/>
  <c r="G27" i="7"/>
  <c r="H27" i="7"/>
  <c r="I27" i="7"/>
  <c r="J27" i="7"/>
  <c r="K27" i="7"/>
  <c r="B28" i="7"/>
  <c r="C28" i="7"/>
  <c r="D28" i="7"/>
  <c r="E28" i="7"/>
  <c r="F28" i="7"/>
  <c r="G28" i="7"/>
  <c r="H28" i="7"/>
  <c r="I28" i="7"/>
  <c r="J28" i="7"/>
  <c r="K28" i="7"/>
  <c r="B29" i="7"/>
  <c r="C29" i="7"/>
  <c r="D29" i="7"/>
  <c r="E29" i="7"/>
  <c r="F29" i="7"/>
  <c r="G29" i="7"/>
  <c r="H29" i="7"/>
  <c r="I29" i="7"/>
  <c r="J29" i="7"/>
  <c r="K29" i="7"/>
  <c r="B30" i="7"/>
  <c r="C30" i="7"/>
  <c r="D30" i="7"/>
  <c r="E30" i="7"/>
  <c r="F30" i="7"/>
  <c r="G30" i="7"/>
  <c r="H30" i="7"/>
  <c r="I30" i="7"/>
  <c r="J30" i="7"/>
  <c r="K30" i="7"/>
  <c r="B31" i="7"/>
  <c r="C31" i="7"/>
  <c r="D31" i="7"/>
  <c r="E31" i="7"/>
  <c r="F31" i="7"/>
  <c r="G31" i="7"/>
  <c r="H31" i="7"/>
  <c r="I31" i="7"/>
  <c r="J31" i="7"/>
  <c r="K31" i="7"/>
  <c r="B32" i="7"/>
  <c r="C32" i="7"/>
  <c r="D32" i="7"/>
  <c r="E32" i="7"/>
  <c r="F32" i="7"/>
  <c r="G32" i="7"/>
  <c r="H32" i="7"/>
  <c r="I32" i="7"/>
  <c r="J32" i="7"/>
  <c r="K32" i="7"/>
  <c r="B33" i="7"/>
  <c r="C33" i="7"/>
  <c r="D33" i="7"/>
  <c r="E33" i="7"/>
  <c r="F33" i="7"/>
  <c r="G33" i="7"/>
  <c r="H33" i="7"/>
  <c r="I33" i="7"/>
  <c r="J33" i="7"/>
  <c r="K33" i="7"/>
  <c r="B34" i="7"/>
  <c r="C34" i="7"/>
  <c r="D34" i="7"/>
  <c r="E34" i="7"/>
  <c r="F34" i="7"/>
  <c r="G34" i="7"/>
  <c r="H34" i="7"/>
  <c r="I34" i="7"/>
  <c r="J34" i="7"/>
  <c r="K34" i="7"/>
  <c r="B35" i="7"/>
  <c r="C35" i="7"/>
  <c r="D35" i="7"/>
  <c r="E35" i="7"/>
  <c r="F35" i="7"/>
  <c r="G35" i="7"/>
  <c r="H35" i="7"/>
  <c r="I35" i="7"/>
  <c r="J35" i="7"/>
  <c r="K35" i="7"/>
  <c r="B36" i="7"/>
  <c r="C36" i="7"/>
  <c r="D36" i="7"/>
  <c r="E36" i="7"/>
  <c r="F36" i="7"/>
  <c r="G36" i="7"/>
  <c r="H36" i="7"/>
  <c r="I36" i="7"/>
  <c r="J36" i="7"/>
  <c r="K36" i="7"/>
  <c r="B37" i="7"/>
  <c r="C37" i="7"/>
  <c r="D37" i="7"/>
  <c r="E37" i="7"/>
  <c r="F37" i="7"/>
  <c r="G37" i="7"/>
  <c r="H37" i="7"/>
  <c r="I37" i="7"/>
  <c r="J37" i="7"/>
  <c r="K37" i="7"/>
  <c r="B38" i="7"/>
  <c r="C38" i="7"/>
  <c r="D38" i="7"/>
  <c r="E38" i="7"/>
  <c r="F38" i="7"/>
  <c r="G38" i="7"/>
  <c r="H38" i="7"/>
  <c r="I38" i="7"/>
  <c r="J38" i="7"/>
  <c r="K38" i="7"/>
  <c r="B39" i="7"/>
  <c r="C39" i="7"/>
  <c r="D39" i="7"/>
  <c r="E39" i="7"/>
  <c r="F39" i="7"/>
  <c r="G39" i="7"/>
  <c r="H39" i="7"/>
  <c r="I39" i="7"/>
  <c r="J39" i="7"/>
  <c r="K39" i="7"/>
  <c r="B40" i="7"/>
  <c r="C40" i="7"/>
  <c r="D40" i="7"/>
  <c r="E40" i="7"/>
  <c r="F40" i="7"/>
  <c r="G40" i="7"/>
  <c r="H40" i="7"/>
  <c r="I40" i="7"/>
  <c r="J40" i="7"/>
  <c r="K40" i="7"/>
  <c r="B41" i="7"/>
  <c r="C41" i="7"/>
  <c r="D41" i="7"/>
  <c r="E41" i="7"/>
  <c r="F41" i="7"/>
  <c r="G41" i="7"/>
  <c r="H41" i="7"/>
  <c r="I41" i="7"/>
  <c r="J41" i="7"/>
  <c r="K41" i="7"/>
  <c r="B42" i="7"/>
  <c r="C42" i="7"/>
  <c r="D42" i="7"/>
  <c r="E42" i="7"/>
  <c r="F42" i="7"/>
  <c r="G42" i="7"/>
  <c r="H42" i="7"/>
  <c r="I42" i="7"/>
  <c r="J42" i="7"/>
  <c r="K42" i="7"/>
  <c r="B43" i="7"/>
  <c r="C43" i="7"/>
  <c r="D43" i="7"/>
  <c r="E43" i="7"/>
  <c r="F43" i="7"/>
  <c r="G43" i="7"/>
  <c r="H43" i="7"/>
  <c r="I43" i="7"/>
  <c r="J43" i="7"/>
  <c r="K43" i="7"/>
  <c r="B44" i="7"/>
  <c r="C44" i="7"/>
  <c r="D44" i="7"/>
  <c r="E44" i="7"/>
  <c r="F44" i="7"/>
  <c r="G44" i="7"/>
  <c r="H44" i="7"/>
  <c r="I44" i="7"/>
  <c r="J44" i="7"/>
  <c r="K44" i="7"/>
  <c r="B45" i="7"/>
  <c r="C45" i="7"/>
  <c r="D45" i="7"/>
  <c r="E45" i="7"/>
  <c r="F45" i="7"/>
  <c r="G45" i="7"/>
  <c r="H45" i="7"/>
  <c r="I45" i="7"/>
  <c r="J45" i="7"/>
  <c r="K45" i="7"/>
  <c r="B46" i="7"/>
  <c r="C46" i="7"/>
  <c r="D46" i="7"/>
  <c r="E46" i="7"/>
  <c r="F46" i="7"/>
  <c r="G46" i="7"/>
  <c r="H46" i="7"/>
  <c r="I46" i="7"/>
  <c r="J46" i="7"/>
  <c r="K46" i="7"/>
  <c r="B47" i="7"/>
  <c r="C47" i="7"/>
  <c r="D47" i="7"/>
  <c r="E47" i="7"/>
  <c r="F47" i="7"/>
  <c r="G47" i="7"/>
  <c r="H47" i="7"/>
  <c r="I47" i="7"/>
  <c r="J47" i="7"/>
  <c r="K47" i="7"/>
  <c r="B48" i="7"/>
  <c r="C48" i="7"/>
  <c r="D48" i="7"/>
  <c r="E48" i="7"/>
  <c r="F48" i="7"/>
  <c r="G48" i="7"/>
  <c r="H48" i="7"/>
  <c r="I48" i="7"/>
  <c r="J48" i="7"/>
  <c r="K48" i="7"/>
  <c r="B49" i="7"/>
  <c r="C49" i="7"/>
  <c r="D49" i="7"/>
  <c r="E49" i="7"/>
  <c r="F49" i="7"/>
  <c r="G49" i="7"/>
  <c r="H49" i="7"/>
  <c r="I49" i="7"/>
  <c r="J49" i="7"/>
  <c r="K49" i="7"/>
  <c r="B50" i="7"/>
  <c r="C50" i="7"/>
  <c r="D50" i="7"/>
  <c r="E50" i="7"/>
  <c r="F50" i="7"/>
  <c r="G50" i="7"/>
  <c r="H50" i="7"/>
  <c r="I50" i="7"/>
  <c r="J50" i="7"/>
  <c r="K50" i="7"/>
  <c r="B51" i="7"/>
  <c r="C51" i="7"/>
  <c r="D51" i="7"/>
  <c r="E51" i="7"/>
  <c r="F51" i="7"/>
  <c r="G51" i="7"/>
  <c r="H51" i="7"/>
  <c r="I51" i="7"/>
  <c r="J51" i="7"/>
  <c r="K51" i="7"/>
  <c r="B52" i="7"/>
  <c r="C52" i="7"/>
  <c r="D52" i="7"/>
  <c r="E52" i="7"/>
  <c r="F52" i="7"/>
  <c r="G52" i="7"/>
  <c r="H52" i="7"/>
  <c r="I52" i="7"/>
  <c r="J52" i="7"/>
  <c r="K52" i="7"/>
  <c r="B53" i="7"/>
  <c r="C53" i="7"/>
  <c r="D53" i="7"/>
  <c r="E53" i="7"/>
  <c r="F53" i="7"/>
  <c r="G53" i="7"/>
  <c r="H53" i="7"/>
  <c r="I53" i="7"/>
  <c r="J53" i="7"/>
  <c r="K53" i="7"/>
  <c r="B54" i="7"/>
  <c r="C54" i="7"/>
  <c r="D54" i="7"/>
  <c r="E54" i="7"/>
  <c r="F54" i="7"/>
  <c r="G54" i="7"/>
  <c r="H54" i="7"/>
  <c r="I54" i="7"/>
  <c r="J54" i="7"/>
  <c r="K54" i="7"/>
  <c r="B55" i="7"/>
  <c r="C55" i="7"/>
  <c r="D55" i="7"/>
  <c r="E55" i="7"/>
  <c r="F55" i="7"/>
  <c r="G55" i="7"/>
  <c r="H55" i="7"/>
  <c r="I55" i="7"/>
  <c r="J55" i="7"/>
  <c r="K55" i="7"/>
  <c r="B56" i="7"/>
  <c r="C56" i="7"/>
  <c r="D56" i="7"/>
  <c r="E56" i="7"/>
  <c r="F56" i="7"/>
  <c r="G56" i="7"/>
  <c r="H56" i="7"/>
  <c r="I56" i="7"/>
  <c r="J56" i="7"/>
  <c r="K56" i="7"/>
  <c r="B57" i="7"/>
  <c r="C57" i="7"/>
  <c r="D57" i="7"/>
  <c r="E57" i="7"/>
  <c r="F57" i="7"/>
  <c r="G57" i="7"/>
  <c r="H57" i="7"/>
  <c r="I57" i="7"/>
  <c r="J57" i="7"/>
  <c r="K57" i="7"/>
  <c r="B58" i="7"/>
  <c r="C58" i="7"/>
  <c r="D58" i="7"/>
  <c r="E58" i="7"/>
  <c r="F58" i="7"/>
  <c r="G58" i="7"/>
  <c r="H58" i="7"/>
  <c r="I58" i="7"/>
  <c r="J58" i="7"/>
  <c r="K58" i="7"/>
  <c r="B59" i="7"/>
  <c r="C59" i="7"/>
  <c r="D59" i="7"/>
  <c r="E59" i="7"/>
  <c r="F59" i="7"/>
  <c r="G59" i="7"/>
  <c r="H59" i="7"/>
  <c r="I59" i="7"/>
  <c r="J59" i="7"/>
  <c r="K59" i="7"/>
  <c r="B60" i="7"/>
  <c r="C60" i="7"/>
  <c r="D60" i="7"/>
  <c r="E60" i="7"/>
  <c r="F60" i="7"/>
  <c r="G60" i="7"/>
  <c r="H60" i="7"/>
  <c r="I60" i="7"/>
  <c r="J60" i="7"/>
  <c r="K60" i="7"/>
  <c r="B61" i="7"/>
  <c r="C61" i="7"/>
  <c r="D61" i="7"/>
  <c r="E61" i="7"/>
  <c r="F61" i="7"/>
  <c r="G61" i="7"/>
  <c r="H61" i="7"/>
  <c r="I61" i="7"/>
  <c r="J61" i="7"/>
  <c r="K61" i="7"/>
  <c r="B62" i="7"/>
  <c r="C62" i="7"/>
  <c r="D62" i="7"/>
  <c r="E62" i="7"/>
  <c r="F62" i="7"/>
  <c r="G62" i="7"/>
  <c r="H62" i="7"/>
  <c r="I62" i="7"/>
  <c r="J62" i="7"/>
  <c r="K62" i="7"/>
  <c r="B63" i="7"/>
  <c r="C63" i="7"/>
  <c r="D63" i="7"/>
  <c r="E63" i="7"/>
  <c r="F63" i="7"/>
  <c r="G63" i="7"/>
  <c r="H63" i="7"/>
  <c r="I63" i="7"/>
  <c r="J63" i="7"/>
  <c r="K63" i="7"/>
  <c r="B64" i="7"/>
  <c r="C64" i="7"/>
  <c r="D64" i="7"/>
  <c r="E64" i="7"/>
  <c r="F64" i="7"/>
  <c r="G64" i="7"/>
  <c r="H64" i="7"/>
  <c r="I64" i="7"/>
  <c r="J64" i="7"/>
  <c r="K64" i="7"/>
  <c r="B65" i="7"/>
  <c r="C65" i="7"/>
  <c r="D65" i="7"/>
  <c r="E65" i="7"/>
  <c r="F65" i="7"/>
  <c r="G65" i="7"/>
  <c r="H65" i="7"/>
  <c r="I65" i="7"/>
  <c r="J65" i="7"/>
  <c r="K65" i="7"/>
  <c r="B66" i="7"/>
  <c r="C66" i="7"/>
  <c r="D66" i="7"/>
  <c r="E66" i="7"/>
  <c r="F66" i="7"/>
  <c r="G66" i="7"/>
  <c r="H66" i="7"/>
  <c r="I66" i="7"/>
  <c r="J66" i="7"/>
  <c r="K66" i="7"/>
  <c r="B67" i="7"/>
  <c r="C67" i="7"/>
  <c r="D67" i="7"/>
  <c r="E67" i="7"/>
  <c r="F67" i="7"/>
  <c r="G67" i="7"/>
  <c r="H67" i="7"/>
  <c r="I67" i="7"/>
  <c r="J67" i="7"/>
  <c r="K67" i="7"/>
  <c r="B68" i="7"/>
  <c r="C68" i="7"/>
  <c r="D68" i="7"/>
  <c r="E68" i="7"/>
  <c r="F68" i="7"/>
  <c r="G68" i="7"/>
  <c r="H68" i="7"/>
  <c r="I68" i="7"/>
  <c r="J68" i="7"/>
  <c r="K68" i="7"/>
  <c r="B69" i="7"/>
  <c r="C69" i="7"/>
  <c r="D69" i="7"/>
  <c r="E69" i="7"/>
  <c r="F69" i="7"/>
  <c r="G69" i="7"/>
  <c r="H69" i="7"/>
  <c r="I69" i="7"/>
  <c r="J69" i="7"/>
  <c r="K69" i="7"/>
  <c r="B70" i="7"/>
  <c r="C70" i="7"/>
  <c r="D70" i="7"/>
  <c r="E70" i="7"/>
  <c r="F70" i="7"/>
  <c r="G70" i="7"/>
  <c r="H70" i="7"/>
  <c r="I70" i="7"/>
  <c r="J70" i="7"/>
  <c r="K70" i="7"/>
  <c r="B71" i="7"/>
  <c r="C71" i="7"/>
  <c r="D71" i="7"/>
  <c r="E71" i="7"/>
  <c r="F71" i="7"/>
  <c r="G71" i="7"/>
  <c r="H71" i="7"/>
  <c r="I71" i="7"/>
  <c r="J71" i="7"/>
  <c r="K71" i="7"/>
  <c r="B72" i="7"/>
  <c r="C72" i="7"/>
  <c r="D72" i="7"/>
  <c r="E72" i="7"/>
  <c r="F72" i="7"/>
  <c r="G72" i="7"/>
  <c r="H72" i="7"/>
  <c r="I72" i="7"/>
  <c r="J72" i="7"/>
  <c r="K72" i="7"/>
  <c r="B73" i="7"/>
  <c r="C73" i="7"/>
  <c r="D73" i="7"/>
  <c r="E73" i="7"/>
  <c r="F73" i="7"/>
  <c r="G73" i="7"/>
  <c r="H73" i="7"/>
  <c r="I73" i="7"/>
  <c r="J73" i="7"/>
  <c r="K73" i="7"/>
  <c r="B74" i="7"/>
  <c r="C74" i="7"/>
  <c r="D74" i="7"/>
  <c r="E74" i="7"/>
  <c r="F74" i="7"/>
  <c r="G74" i="7"/>
  <c r="H74" i="7"/>
  <c r="I74" i="7"/>
  <c r="J74" i="7"/>
  <c r="K74" i="7"/>
  <c r="B75" i="7"/>
  <c r="C75" i="7"/>
  <c r="D75" i="7"/>
  <c r="E75" i="7"/>
  <c r="F75" i="7"/>
  <c r="G75" i="7"/>
  <c r="H75" i="7"/>
  <c r="I75" i="7"/>
  <c r="J75" i="7"/>
  <c r="K75" i="7"/>
  <c r="B76" i="7"/>
  <c r="C76" i="7"/>
  <c r="D76" i="7"/>
  <c r="E76" i="7"/>
  <c r="F76" i="7"/>
  <c r="G76" i="7"/>
  <c r="H76" i="7"/>
  <c r="I76" i="7"/>
  <c r="J76" i="7"/>
  <c r="K76" i="7"/>
  <c r="B77" i="7"/>
  <c r="C77" i="7"/>
  <c r="D77" i="7"/>
  <c r="E77" i="7"/>
  <c r="F77" i="7"/>
  <c r="G77" i="7"/>
  <c r="H77" i="7"/>
  <c r="I77" i="7"/>
  <c r="J77" i="7"/>
  <c r="K77" i="7"/>
  <c r="B78" i="7"/>
  <c r="C78" i="7"/>
  <c r="D78" i="7"/>
  <c r="E78" i="7"/>
  <c r="F78" i="7"/>
  <c r="G78" i="7"/>
  <c r="H78" i="7"/>
  <c r="I78" i="7"/>
  <c r="J78" i="7"/>
  <c r="K78" i="7"/>
  <c r="B79" i="7"/>
  <c r="C79" i="7"/>
  <c r="D79" i="7"/>
  <c r="E79" i="7"/>
  <c r="F79" i="7"/>
  <c r="G79" i="7"/>
  <c r="H79" i="7"/>
  <c r="I79" i="7"/>
  <c r="J79" i="7"/>
  <c r="K79" i="7"/>
  <c r="B80" i="7"/>
  <c r="C80" i="7"/>
  <c r="D80" i="7"/>
  <c r="E80" i="7"/>
  <c r="F80" i="7"/>
  <c r="G80" i="7"/>
  <c r="H80" i="7"/>
  <c r="I80" i="7"/>
  <c r="J80" i="7"/>
  <c r="K80" i="7"/>
  <c r="B81" i="7"/>
  <c r="C81" i="7"/>
  <c r="D81" i="7"/>
  <c r="E81" i="7"/>
  <c r="F81" i="7"/>
  <c r="G81" i="7"/>
  <c r="H81" i="7"/>
  <c r="I81" i="7"/>
  <c r="J81" i="7"/>
  <c r="K81" i="7"/>
  <c r="B82" i="7"/>
  <c r="C82" i="7"/>
  <c r="D82" i="7"/>
  <c r="E82" i="7"/>
  <c r="F82" i="7"/>
  <c r="G82" i="7"/>
  <c r="H82" i="7"/>
  <c r="I82" i="7"/>
  <c r="J82" i="7"/>
  <c r="K82" i="7"/>
  <c r="B83" i="7"/>
  <c r="C83" i="7"/>
  <c r="D83" i="7"/>
  <c r="E83" i="7"/>
  <c r="F83" i="7"/>
  <c r="G83" i="7"/>
  <c r="H83" i="7"/>
  <c r="I83" i="7"/>
  <c r="J83" i="7"/>
  <c r="K83" i="7"/>
  <c r="B84" i="7"/>
  <c r="C84" i="7"/>
  <c r="D84" i="7"/>
  <c r="E84" i="7"/>
  <c r="F84" i="7"/>
  <c r="G84" i="7"/>
  <c r="H84" i="7"/>
  <c r="I84" i="7"/>
  <c r="J84" i="7"/>
  <c r="K84" i="7"/>
  <c r="B85" i="7"/>
  <c r="C85" i="7"/>
  <c r="D85" i="7"/>
  <c r="E85" i="7"/>
  <c r="F85" i="7"/>
  <c r="G85" i="7"/>
  <c r="H85" i="7"/>
  <c r="I85" i="7"/>
  <c r="J85" i="7"/>
  <c r="K85" i="7"/>
  <c r="B86" i="7"/>
  <c r="C86" i="7"/>
  <c r="D86" i="7"/>
  <c r="E86" i="7"/>
  <c r="F86" i="7"/>
  <c r="G86" i="7"/>
  <c r="H86" i="7"/>
  <c r="I86" i="7"/>
  <c r="J86" i="7"/>
  <c r="K86" i="7"/>
  <c r="B87" i="7"/>
  <c r="C87" i="7"/>
  <c r="D87" i="7"/>
  <c r="E87" i="7"/>
  <c r="F87" i="7"/>
  <c r="G87" i="7"/>
  <c r="H87" i="7"/>
  <c r="I87" i="7"/>
  <c r="J87" i="7"/>
  <c r="K87" i="7"/>
  <c r="B88" i="7"/>
  <c r="C88" i="7"/>
  <c r="D88" i="7"/>
  <c r="E88" i="7"/>
  <c r="F88" i="7"/>
  <c r="G88" i="7"/>
  <c r="H88" i="7"/>
  <c r="I88" i="7"/>
  <c r="J88" i="7"/>
  <c r="K88" i="7"/>
  <c r="B89" i="7"/>
  <c r="C89" i="7"/>
  <c r="D89" i="7"/>
  <c r="E89" i="7"/>
  <c r="F89" i="7"/>
  <c r="G89" i="7"/>
  <c r="H89" i="7"/>
  <c r="I89" i="7"/>
  <c r="J89" i="7"/>
  <c r="K89" i="7"/>
  <c r="B90" i="7"/>
  <c r="C90" i="7"/>
  <c r="D90" i="7"/>
  <c r="E90" i="7"/>
  <c r="F90" i="7"/>
  <c r="G90" i="7"/>
  <c r="H90" i="7"/>
  <c r="I90" i="7"/>
  <c r="J90" i="7"/>
  <c r="K90" i="7"/>
  <c r="B91" i="7"/>
  <c r="C91" i="7"/>
  <c r="D91" i="7"/>
  <c r="E91" i="7"/>
  <c r="F91" i="7"/>
  <c r="G91" i="7"/>
  <c r="H91" i="7"/>
  <c r="I91" i="7"/>
  <c r="J91" i="7"/>
  <c r="K91" i="7"/>
  <c r="B92" i="7"/>
  <c r="C92" i="7"/>
  <c r="D92" i="7"/>
  <c r="E92" i="7"/>
  <c r="F92" i="7"/>
  <c r="G92" i="7"/>
  <c r="H92" i="7"/>
  <c r="I92" i="7"/>
  <c r="J92" i="7"/>
  <c r="K92" i="7"/>
  <c r="B93" i="7"/>
  <c r="C93" i="7"/>
  <c r="D93" i="7"/>
  <c r="E93" i="7"/>
  <c r="F93" i="7"/>
  <c r="G93" i="7"/>
  <c r="H93" i="7"/>
  <c r="I93" i="7"/>
  <c r="J93" i="7"/>
  <c r="K93" i="7"/>
  <c r="B94" i="7"/>
  <c r="C94" i="7"/>
  <c r="D94" i="7"/>
  <c r="E94" i="7"/>
  <c r="F94" i="7"/>
  <c r="G94" i="7"/>
  <c r="H94" i="7"/>
  <c r="I94" i="7"/>
  <c r="J94" i="7"/>
  <c r="K94" i="7"/>
  <c r="B95" i="7"/>
  <c r="C95" i="7"/>
  <c r="D95" i="7"/>
  <c r="E95" i="7"/>
  <c r="F95" i="7"/>
  <c r="G95" i="7"/>
  <c r="H95" i="7"/>
  <c r="I95" i="7"/>
  <c r="J95" i="7"/>
  <c r="K95" i="7"/>
  <c r="B96" i="7"/>
  <c r="C96" i="7"/>
  <c r="D96" i="7"/>
  <c r="E96" i="7"/>
  <c r="F96" i="7"/>
  <c r="G96" i="7"/>
  <c r="H96" i="7"/>
  <c r="I96" i="7"/>
  <c r="J96" i="7"/>
  <c r="K96" i="7"/>
  <c r="B97" i="7"/>
  <c r="C97" i="7"/>
  <c r="D97" i="7"/>
  <c r="E97" i="7"/>
  <c r="F97" i="7"/>
  <c r="G97" i="7"/>
  <c r="H97" i="7"/>
  <c r="I97" i="7"/>
  <c r="J97" i="7"/>
  <c r="K97" i="7"/>
  <c r="B98" i="7"/>
  <c r="C98" i="7"/>
  <c r="D98" i="7"/>
  <c r="E98" i="7"/>
  <c r="F98" i="7"/>
  <c r="G98" i="7"/>
  <c r="H98" i="7"/>
  <c r="I98" i="7"/>
  <c r="J98" i="7"/>
  <c r="K98" i="7"/>
  <c r="B99" i="7"/>
  <c r="C99" i="7"/>
  <c r="D99" i="7"/>
  <c r="E99" i="7"/>
  <c r="F99" i="7"/>
  <c r="G99" i="7"/>
  <c r="H99" i="7"/>
  <c r="I99" i="7"/>
  <c r="J99" i="7"/>
  <c r="K99" i="7"/>
  <c r="B100" i="7"/>
  <c r="C100" i="7"/>
  <c r="D100" i="7"/>
  <c r="E100" i="7"/>
  <c r="F100" i="7"/>
  <c r="G100" i="7"/>
  <c r="H100" i="7"/>
  <c r="I100" i="7"/>
  <c r="J100" i="7"/>
  <c r="K100" i="7"/>
  <c r="B101" i="7"/>
  <c r="C101" i="7"/>
  <c r="D101" i="7"/>
  <c r="E101" i="7"/>
  <c r="F101" i="7"/>
  <c r="G101" i="7"/>
  <c r="H101" i="7"/>
  <c r="I101" i="7"/>
  <c r="J101" i="7"/>
  <c r="K101" i="7"/>
  <c r="B102" i="7"/>
  <c r="C102" i="7"/>
  <c r="D102" i="7"/>
  <c r="E102" i="7"/>
  <c r="F102" i="7"/>
  <c r="G102" i="7"/>
  <c r="H102" i="7"/>
  <c r="I102" i="7"/>
  <c r="J102" i="7"/>
  <c r="K102" i="7"/>
  <c r="B103" i="7"/>
  <c r="C103" i="7"/>
  <c r="D103" i="7"/>
  <c r="E103" i="7"/>
  <c r="F103" i="7"/>
  <c r="G103" i="7"/>
  <c r="H103" i="7"/>
  <c r="I103" i="7"/>
  <c r="J103" i="7"/>
  <c r="K103" i="7"/>
  <c r="B104" i="7"/>
  <c r="C104" i="7"/>
  <c r="D104" i="7"/>
  <c r="E104" i="7"/>
  <c r="F104" i="7"/>
  <c r="G104" i="7"/>
  <c r="H104" i="7"/>
  <c r="I104" i="7"/>
  <c r="J104" i="7"/>
  <c r="K104" i="7"/>
  <c r="B105" i="7"/>
  <c r="C105" i="7"/>
  <c r="D105" i="7"/>
  <c r="E105" i="7"/>
  <c r="F105" i="7"/>
  <c r="G105" i="7"/>
  <c r="H105" i="7"/>
  <c r="I105" i="7"/>
  <c r="J105" i="7"/>
  <c r="K105" i="7"/>
  <c r="B106" i="7"/>
  <c r="C106" i="7"/>
  <c r="D106" i="7"/>
  <c r="E106" i="7"/>
  <c r="F106" i="7"/>
  <c r="G106" i="7"/>
  <c r="H106" i="7"/>
  <c r="I106" i="7"/>
  <c r="J106" i="7"/>
  <c r="K106" i="7"/>
  <c r="B107" i="7"/>
  <c r="C107" i="7"/>
  <c r="D107" i="7"/>
  <c r="E107" i="7"/>
  <c r="F107" i="7"/>
  <c r="G107" i="7"/>
  <c r="H107" i="7"/>
  <c r="I107" i="7"/>
  <c r="J107" i="7"/>
  <c r="K107" i="7"/>
  <c r="B108" i="7"/>
  <c r="C108" i="7"/>
  <c r="D108" i="7"/>
  <c r="E108" i="7"/>
  <c r="F108" i="7"/>
  <c r="G108" i="7"/>
  <c r="H108" i="7"/>
  <c r="I108" i="7"/>
  <c r="J108" i="7"/>
  <c r="K108" i="7"/>
  <c r="B109" i="7"/>
  <c r="C109" i="7"/>
  <c r="D109" i="7"/>
  <c r="E109" i="7"/>
  <c r="F109" i="7"/>
  <c r="G109" i="7"/>
  <c r="H109" i="7"/>
  <c r="I109" i="7"/>
  <c r="J109" i="7"/>
  <c r="K109" i="7"/>
  <c r="B110" i="7"/>
  <c r="C110" i="7"/>
  <c r="D110" i="7"/>
  <c r="E110" i="7"/>
  <c r="F110" i="7"/>
  <c r="G110" i="7"/>
  <c r="H110" i="7"/>
  <c r="I110" i="7"/>
  <c r="J110" i="7"/>
  <c r="K110" i="7"/>
  <c r="B111" i="7"/>
  <c r="C111" i="7"/>
  <c r="D111" i="7"/>
  <c r="E111" i="7"/>
  <c r="F111" i="7"/>
  <c r="G111" i="7"/>
  <c r="H111" i="7"/>
  <c r="I111" i="7"/>
  <c r="J111" i="7"/>
  <c r="K111" i="7"/>
  <c r="B112" i="7"/>
  <c r="C112" i="7"/>
  <c r="D112" i="7"/>
  <c r="E112" i="7"/>
  <c r="F112" i="7"/>
  <c r="G112" i="7"/>
  <c r="H112" i="7"/>
  <c r="I112" i="7"/>
  <c r="J112" i="7"/>
  <c r="K112" i="7"/>
  <c r="B113" i="7"/>
  <c r="C113" i="7"/>
  <c r="D113" i="7"/>
  <c r="E113" i="7"/>
  <c r="F113" i="7"/>
  <c r="G113" i="7"/>
  <c r="H113" i="7"/>
  <c r="I113" i="7"/>
  <c r="J113" i="7"/>
  <c r="K113" i="7"/>
  <c r="B114" i="7"/>
  <c r="C114" i="7"/>
  <c r="D114" i="7"/>
  <c r="E114" i="7"/>
  <c r="F114" i="7"/>
  <c r="G114" i="7"/>
  <c r="H114" i="7"/>
  <c r="I114" i="7"/>
  <c r="J114" i="7"/>
  <c r="K114" i="7"/>
  <c r="B115" i="7"/>
  <c r="C115" i="7"/>
  <c r="D115" i="7"/>
  <c r="E115" i="7"/>
  <c r="F115" i="7"/>
  <c r="G115" i="7"/>
  <c r="H115" i="7"/>
  <c r="I115" i="7"/>
  <c r="J115" i="7"/>
  <c r="K115" i="7"/>
  <c r="B116" i="7"/>
  <c r="C116" i="7"/>
  <c r="D116" i="7"/>
  <c r="E116" i="7"/>
  <c r="F116" i="7"/>
  <c r="G116" i="7"/>
  <c r="H116" i="7"/>
  <c r="I116" i="7"/>
  <c r="J116" i="7"/>
  <c r="K116" i="7"/>
  <c r="B117" i="7"/>
  <c r="C117" i="7"/>
  <c r="D117" i="7"/>
  <c r="E117" i="7"/>
  <c r="F117" i="7"/>
  <c r="G117" i="7"/>
  <c r="H117" i="7"/>
  <c r="I117" i="7"/>
  <c r="J117" i="7"/>
  <c r="K117" i="7"/>
  <c r="B118" i="7"/>
  <c r="C118" i="7"/>
  <c r="D118" i="7"/>
  <c r="E118" i="7"/>
  <c r="F118" i="7"/>
  <c r="G118" i="7"/>
  <c r="H118" i="7"/>
  <c r="I118" i="7"/>
  <c r="J118" i="7"/>
  <c r="K118" i="7"/>
  <c r="B119" i="7"/>
  <c r="C119" i="7"/>
  <c r="D119" i="7"/>
  <c r="E119" i="7"/>
  <c r="F119" i="7"/>
  <c r="G119" i="7"/>
  <c r="H119" i="7"/>
  <c r="I119" i="7"/>
  <c r="J119" i="7"/>
  <c r="K119" i="7"/>
  <c r="B120" i="7"/>
  <c r="C120" i="7"/>
  <c r="D120" i="7"/>
  <c r="E120" i="7"/>
  <c r="F120" i="7"/>
  <c r="G120" i="7"/>
  <c r="H120" i="7"/>
  <c r="I120" i="7"/>
  <c r="J120" i="7"/>
  <c r="K120" i="7"/>
  <c r="B121" i="7"/>
  <c r="C121" i="7"/>
  <c r="D121" i="7"/>
  <c r="E121" i="7"/>
  <c r="F121" i="7"/>
  <c r="G121" i="7"/>
  <c r="H121" i="7"/>
  <c r="I121" i="7"/>
  <c r="J121" i="7"/>
  <c r="K121" i="7"/>
  <c r="B122" i="7"/>
  <c r="C122" i="7"/>
  <c r="D122" i="7"/>
  <c r="E122" i="7"/>
  <c r="F122" i="7"/>
  <c r="G122" i="7"/>
  <c r="H122" i="7"/>
  <c r="I122" i="7"/>
  <c r="J122" i="7"/>
  <c r="K122" i="7"/>
  <c r="B123" i="7"/>
  <c r="C123" i="7"/>
  <c r="D123" i="7"/>
  <c r="E123" i="7"/>
  <c r="F123" i="7"/>
  <c r="G123" i="7"/>
  <c r="H123" i="7"/>
  <c r="I123" i="7"/>
  <c r="J123" i="7"/>
  <c r="K123" i="7"/>
  <c r="B124" i="7"/>
  <c r="C124" i="7"/>
  <c r="D124" i="7"/>
  <c r="E124" i="7"/>
  <c r="F124" i="7"/>
  <c r="G124" i="7"/>
  <c r="H124" i="7"/>
  <c r="I124" i="7"/>
  <c r="J124" i="7"/>
  <c r="K124" i="7"/>
  <c r="B125" i="7"/>
  <c r="C125" i="7"/>
  <c r="D125" i="7"/>
  <c r="E125" i="7"/>
  <c r="F125" i="7"/>
  <c r="G125" i="7"/>
  <c r="H125" i="7"/>
  <c r="I125" i="7"/>
  <c r="J125" i="7"/>
  <c r="K125" i="7"/>
  <c r="B126" i="7"/>
  <c r="C126" i="7"/>
  <c r="D126" i="7"/>
  <c r="E126" i="7"/>
  <c r="F126" i="7"/>
  <c r="G126" i="7"/>
  <c r="H126" i="7"/>
  <c r="I126" i="7"/>
  <c r="J126" i="7"/>
  <c r="K126" i="7"/>
  <c r="B127" i="7"/>
  <c r="C127" i="7"/>
  <c r="D127" i="7"/>
  <c r="E127" i="7"/>
  <c r="F127" i="7"/>
  <c r="G127" i="7"/>
  <c r="H127" i="7"/>
  <c r="I127" i="7"/>
  <c r="J127" i="7"/>
  <c r="K127" i="7"/>
  <c r="B128" i="7"/>
  <c r="C128" i="7"/>
  <c r="D128" i="7"/>
  <c r="E128" i="7"/>
  <c r="F128" i="7"/>
  <c r="G128" i="7"/>
  <c r="H128" i="7"/>
  <c r="I128" i="7"/>
  <c r="J128" i="7"/>
  <c r="K128" i="7"/>
  <c r="B129" i="7"/>
  <c r="C129" i="7"/>
  <c r="D129" i="7"/>
  <c r="E129" i="7"/>
  <c r="F129" i="7"/>
  <c r="G129" i="7"/>
  <c r="H129" i="7"/>
  <c r="I129" i="7"/>
  <c r="J129" i="7"/>
  <c r="K129" i="7"/>
  <c r="B130" i="7"/>
  <c r="C130" i="7"/>
  <c r="D130" i="7"/>
  <c r="E130" i="7"/>
  <c r="F130" i="7"/>
  <c r="G130" i="7"/>
  <c r="H130" i="7"/>
  <c r="I130" i="7"/>
  <c r="J130" i="7"/>
  <c r="K130" i="7"/>
  <c r="B131" i="7"/>
  <c r="C131" i="7"/>
  <c r="D131" i="7"/>
  <c r="E131" i="7"/>
  <c r="F131" i="7"/>
  <c r="G131" i="7"/>
  <c r="H131" i="7"/>
  <c r="I131" i="7"/>
  <c r="J131" i="7"/>
  <c r="K131" i="7"/>
  <c r="B132" i="7"/>
  <c r="C132" i="7"/>
  <c r="D132" i="7"/>
  <c r="E132" i="7"/>
  <c r="F132" i="7"/>
  <c r="G132" i="7"/>
  <c r="H132" i="7"/>
  <c r="I132" i="7"/>
  <c r="J132" i="7"/>
  <c r="K132" i="7"/>
  <c r="B133" i="7"/>
  <c r="C133" i="7"/>
  <c r="D133" i="7"/>
  <c r="E133" i="7"/>
  <c r="F133" i="7"/>
  <c r="G133" i="7"/>
  <c r="H133" i="7"/>
  <c r="I133" i="7"/>
  <c r="J133" i="7"/>
  <c r="K133" i="7"/>
  <c r="B134" i="7"/>
  <c r="C134" i="7"/>
  <c r="D134" i="7"/>
  <c r="E134" i="7"/>
  <c r="F134" i="7"/>
  <c r="G134" i="7"/>
  <c r="H134" i="7"/>
  <c r="I134" i="7"/>
  <c r="J134" i="7"/>
  <c r="K134" i="7"/>
  <c r="B135" i="7"/>
  <c r="C135" i="7"/>
  <c r="D135" i="7"/>
  <c r="E135" i="7"/>
  <c r="F135" i="7"/>
  <c r="G135" i="7"/>
  <c r="H135" i="7"/>
  <c r="I135" i="7"/>
  <c r="J135" i="7"/>
  <c r="K135" i="7"/>
  <c r="B136" i="7"/>
  <c r="C136" i="7"/>
  <c r="D136" i="7"/>
  <c r="E136" i="7"/>
  <c r="F136" i="7"/>
  <c r="G136" i="7"/>
  <c r="H136" i="7"/>
  <c r="I136" i="7"/>
  <c r="J136" i="7"/>
  <c r="K136" i="7"/>
  <c r="B137" i="7"/>
  <c r="C137" i="7"/>
  <c r="D137" i="7"/>
  <c r="E137" i="7"/>
  <c r="F137" i="7"/>
  <c r="G137" i="7"/>
  <c r="H137" i="7"/>
  <c r="I137" i="7"/>
  <c r="J137" i="7"/>
  <c r="K137" i="7"/>
  <c r="B138" i="7"/>
  <c r="C138" i="7"/>
  <c r="D138" i="7"/>
  <c r="E138" i="7"/>
  <c r="F138" i="7"/>
  <c r="G138" i="7"/>
  <c r="H138" i="7"/>
  <c r="I138" i="7"/>
  <c r="J138" i="7"/>
  <c r="K138" i="7"/>
  <c r="B139" i="7"/>
  <c r="C139" i="7"/>
  <c r="D139" i="7"/>
  <c r="E139" i="7"/>
  <c r="F139" i="7"/>
  <c r="G139" i="7"/>
  <c r="H139" i="7"/>
  <c r="I139" i="7"/>
  <c r="J139" i="7"/>
  <c r="K139" i="7"/>
  <c r="B140" i="7"/>
  <c r="C140" i="7"/>
  <c r="D140" i="7"/>
  <c r="E140" i="7"/>
  <c r="F140" i="7"/>
  <c r="G140" i="7"/>
  <c r="H140" i="7"/>
  <c r="I140" i="7"/>
  <c r="J140" i="7"/>
  <c r="K140" i="7"/>
  <c r="B141" i="7"/>
  <c r="C141" i="7"/>
  <c r="D141" i="7"/>
  <c r="E141" i="7"/>
  <c r="F141" i="7"/>
  <c r="G141" i="7"/>
  <c r="H141" i="7"/>
  <c r="I141" i="7"/>
  <c r="J141" i="7"/>
  <c r="K141" i="7"/>
  <c r="B142" i="7"/>
  <c r="C142" i="7"/>
  <c r="D142" i="7"/>
  <c r="E142" i="7"/>
  <c r="F142" i="7"/>
  <c r="G142" i="7"/>
  <c r="H142" i="7"/>
  <c r="I142" i="7"/>
  <c r="J142" i="7"/>
  <c r="K142" i="7"/>
  <c r="B143" i="7"/>
  <c r="C143" i="7"/>
  <c r="D143" i="7"/>
  <c r="E143" i="7"/>
  <c r="F143" i="7"/>
  <c r="G143" i="7"/>
  <c r="H143" i="7"/>
  <c r="I143" i="7"/>
  <c r="J143" i="7"/>
  <c r="K143" i="7"/>
  <c r="B144" i="7"/>
  <c r="C144" i="7"/>
  <c r="D144" i="7"/>
  <c r="E144" i="7"/>
  <c r="F144" i="7"/>
  <c r="G144" i="7"/>
  <c r="H144" i="7"/>
  <c r="I144" i="7"/>
  <c r="J144" i="7"/>
  <c r="K144" i="7"/>
  <c r="B145" i="7"/>
  <c r="C145" i="7"/>
  <c r="D145" i="7"/>
  <c r="E145" i="7"/>
  <c r="F145" i="7"/>
  <c r="G145" i="7"/>
  <c r="H145" i="7"/>
  <c r="I145" i="7"/>
  <c r="J145" i="7"/>
  <c r="K145" i="7"/>
  <c r="B146" i="7"/>
  <c r="C146" i="7"/>
  <c r="D146" i="7"/>
  <c r="E146" i="7"/>
  <c r="F146" i="7"/>
  <c r="G146" i="7"/>
  <c r="H146" i="7"/>
  <c r="I146" i="7"/>
  <c r="J146" i="7"/>
  <c r="K146" i="7"/>
  <c r="B147" i="7"/>
  <c r="C147" i="7"/>
  <c r="D147" i="7"/>
  <c r="E147" i="7"/>
  <c r="F147" i="7"/>
  <c r="G147" i="7"/>
  <c r="H147" i="7"/>
  <c r="I147" i="7"/>
  <c r="J147" i="7"/>
  <c r="K147" i="7"/>
  <c r="B148" i="7"/>
  <c r="C148" i="7"/>
  <c r="D148" i="7"/>
  <c r="E148" i="7"/>
  <c r="F148" i="7"/>
  <c r="G148" i="7"/>
  <c r="H148" i="7"/>
  <c r="I148" i="7"/>
  <c r="J148" i="7"/>
  <c r="K148" i="7"/>
  <c r="B149" i="7"/>
  <c r="C149" i="7"/>
  <c r="D149" i="7"/>
  <c r="E149" i="7"/>
  <c r="F149" i="7"/>
  <c r="G149" i="7"/>
  <c r="H149" i="7"/>
  <c r="I149" i="7"/>
  <c r="J149" i="7"/>
  <c r="K149" i="7"/>
  <c r="B150" i="7"/>
  <c r="C150" i="7"/>
  <c r="D150" i="7"/>
  <c r="E150" i="7"/>
  <c r="F150" i="7"/>
  <c r="G150" i="7"/>
  <c r="H150" i="7"/>
  <c r="I150" i="7"/>
  <c r="J150" i="7"/>
  <c r="K150" i="7"/>
  <c r="B151" i="7"/>
  <c r="C151" i="7"/>
  <c r="D151" i="7"/>
  <c r="E151" i="7"/>
  <c r="F151" i="7"/>
  <c r="G151" i="7"/>
  <c r="H151" i="7"/>
  <c r="I151" i="7"/>
  <c r="J151" i="7"/>
  <c r="K151" i="7"/>
  <c r="B152" i="7"/>
  <c r="C152" i="7"/>
  <c r="D152" i="7"/>
  <c r="E152" i="7"/>
  <c r="F152" i="7"/>
  <c r="G152" i="7"/>
  <c r="H152" i="7"/>
  <c r="I152" i="7"/>
  <c r="J152" i="7"/>
  <c r="K152" i="7"/>
  <c r="B153" i="7"/>
  <c r="C153" i="7"/>
  <c r="D153" i="7"/>
  <c r="E153" i="7"/>
  <c r="F153" i="7"/>
  <c r="G153" i="7"/>
  <c r="H153" i="7"/>
  <c r="I153" i="7"/>
  <c r="J153" i="7"/>
  <c r="K153" i="7"/>
  <c r="B154" i="7"/>
  <c r="C154" i="7"/>
  <c r="D154" i="7"/>
  <c r="E154" i="7"/>
  <c r="F154" i="7"/>
  <c r="G154" i="7"/>
  <c r="H154" i="7"/>
  <c r="I154" i="7"/>
  <c r="J154" i="7"/>
  <c r="K154" i="7"/>
  <c r="B155" i="7"/>
  <c r="C155" i="7"/>
  <c r="D155" i="7"/>
  <c r="E155" i="7"/>
  <c r="F155" i="7"/>
  <c r="G155" i="7"/>
  <c r="H155" i="7"/>
  <c r="I155" i="7"/>
  <c r="J155" i="7"/>
  <c r="K155" i="7"/>
  <c r="B156" i="7"/>
  <c r="C156" i="7"/>
  <c r="D156" i="7"/>
  <c r="E156" i="7"/>
  <c r="F156" i="7"/>
  <c r="G156" i="7"/>
  <c r="H156" i="7"/>
  <c r="I156" i="7"/>
  <c r="J156" i="7"/>
  <c r="K156" i="7"/>
  <c r="B157" i="7"/>
  <c r="C157" i="7"/>
  <c r="D157" i="7"/>
  <c r="E157" i="7"/>
  <c r="F157" i="7"/>
  <c r="G157" i="7"/>
  <c r="H157" i="7"/>
  <c r="I157" i="7"/>
  <c r="J157" i="7"/>
  <c r="K157" i="7"/>
  <c r="B158" i="7"/>
  <c r="C158" i="7"/>
  <c r="D158" i="7"/>
  <c r="E158" i="7"/>
  <c r="F158" i="7"/>
  <c r="G158" i="7"/>
  <c r="H158" i="7"/>
  <c r="I158" i="7"/>
  <c r="J158" i="7"/>
  <c r="K158" i="7"/>
  <c r="B159" i="7"/>
  <c r="C159" i="7"/>
  <c r="D159" i="7"/>
  <c r="E159" i="7"/>
  <c r="F159" i="7"/>
  <c r="G159" i="7"/>
  <c r="H159" i="7"/>
  <c r="I159" i="7"/>
  <c r="J159" i="7"/>
  <c r="K159" i="7"/>
  <c r="B160" i="7"/>
  <c r="C160" i="7"/>
  <c r="D160" i="7"/>
  <c r="E160" i="7"/>
  <c r="F160" i="7"/>
  <c r="G160" i="7"/>
  <c r="H160" i="7"/>
  <c r="I160" i="7"/>
  <c r="J160" i="7"/>
  <c r="K160" i="7"/>
  <c r="B161" i="7"/>
  <c r="C161" i="7"/>
  <c r="D161" i="7"/>
  <c r="E161" i="7"/>
  <c r="F161" i="7"/>
  <c r="G161" i="7"/>
  <c r="H161" i="7"/>
  <c r="I161" i="7"/>
  <c r="J161" i="7"/>
  <c r="K161" i="7"/>
  <c r="B162" i="7"/>
  <c r="C162" i="7"/>
  <c r="D162" i="7"/>
  <c r="E162" i="7"/>
  <c r="F162" i="7"/>
  <c r="G162" i="7"/>
  <c r="H162" i="7"/>
  <c r="I162" i="7"/>
  <c r="J162" i="7"/>
  <c r="K162" i="7"/>
  <c r="B163" i="7"/>
  <c r="C163" i="7"/>
  <c r="D163" i="7"/>
  <c r="E163" i="7"/>
  <c r="F163" i="7"/>
  <c r="G163" i="7"/>
  <c r="H163" i="7"/>
  <c r="I163" i="7"/>
  <c r="J163" i="7"/>
  <c r="K163" i="7"/>
  <c r="B164" i="7"/>
  <c r="C164" i="7"/>
  <c r="D164" i="7"/>
  <c r="E164" i="7"/>
  <c r="F164" i="7"/>
  <c r="G164" i="7"/>
  <c r="H164" i="7"/>
  <c r="I164" i="7"/>
  <c r="J164" i="7"/>
  <c r="K164" i="7"/>
  <c r="B165" i="7"/>
  <c r="C165" i="7"/>
  <c r="D165" i="7"/>
  <c r="E165" i="7"/>
  <c r="F165" i="7"/>
  <c r="G165" i="7"/>
  <c r="H165" i="7"/>
  <c r="I165" i="7"/>
  <c r="J165" i="7"/>
  <c r="K165" i="7"/>
  <c r="B166" i="7"/>
  <c r="C166" i="7"/>
  <c r="D166" i="7"/>
  <c r="E166" i="7"/>
  <c r="F166" i="7"/>
  <c r="G166" i="7"/>
  <c r="H166" i="7"/>
  <c r="I166" i="7"/>
  <c r="J166" i="7"/>
  <c r="K166" i="7"/>
  <c r="B167" i="7"/>
  <c r="C167" i="7"/>
  <c r="D167" i="7"/>
  <c r="E167" i="7"/>
  <c r="F167" i="7"/>
  <c r="G167" i="7"/>
  <c r="H167" i="7"/>
  <c r="I167" i="7"/>
  <c r="J167" i="7"/>
  <c r="K167" i="7"/>
  <c r="B168" i="7"/>
  <c r="C168" i="7"/>
  <c r="D168" i="7"/>
  <c r="E168" i="7"/>
  <c r="F168" i="7"/>
  <c r="G168" i="7"/>
  <c r="H168" i="7"/>
  <c r="I168" i="7"/>
  <c r="J168" i="7"/>
  <c r="K168" i="7"/>
  <c r="B169" i="7"/>
  <c r="C169" i="7"/>
  <c r="D169" i="7"/>
  <c r="E169" i="7"/>
  <c r="F169" i="7"/>
  <c r="G169" i="7"/>
  <c r="H169" i="7"/>
  <c r="I169" i="7"/>
  <c r="J169" i="7"/>
  <c r="K169" i="7"/>
  <c r="B170" i="7"/>
  <c r="C170" i="7"/>
  <c r="D170" i="7"/>
  <c r="E170" i="7"/>
  <c r="F170" i="7"/>
  <c r="G170" i="7"/>
  <c r="H170" i="7"/>
  <c r="I170" i="7"/>
  <c r="J170" i="7"/>
  <c r="K170" i="7"/>
  <c r="B171" i="7"/>
  <c r="C171" i="7"/>
  <c r="D171" i="7"/>
  <c r="E171" i="7"/>
  <c r="F171" i="7"/>
  <c r="G171" i="7"/>
  <c r="H171" i="7"/>
  <c r="I171" i="7"/>
  <c r="J171" i="7"/>
  <c r="K171" i="7"/>
  <c r="B172" i="7"/>
  <c r="C172" i="7"/>
  <c r="D172" i="7"/>
  <c r="E172" i="7"/>
  <c r="F172" i="7"/>
  <c r="G172" i="7"/>
  <c r="H172" i="7"/>
  <c r="I172" i="7"/>
  <c r="J172" i="7"/>
  <c r="K172" i="7"/>
  <c r="B173" i="7"/>
  <c r="C173" i="7"/>
  <c r="D173" i="7"/>
  <c r="E173" i="7"/>
  <c r="F173" i="7"/>
  <c r="G173" i="7"/>
  <c r="H173" i="7"/>
  <c r="I173" i="7"/>
  <c r="J173" i="7"/>
  <c r="K173" i="7"/>
  <c r="B174" i="7"/>
  <c r="C174" i="7"/>
  <c r="D174" i="7"/>
  <c r="E174" i="7"/>
  <c r="F174" i="7"/>
  <c r="G174" i="7"/>
  <c r="H174" i="7"/>
  <c r="I174" i="7"/>
  <c r="J174" i="7"/>
  <c r="K174" i="7"/>
  <c r="B175" i="7"/>
  <c r="C175" i="7"/>
  <c r="D175" i="7"/>
  <c r="E175" i="7"/>
  <c r="F175" i="7"/>
  <c r="G175" i="7"/>
  <c r="H175" i="7"/>
  <c r="I175" i="7"/>
  <c r="J175" i="7"/>
  <c r="K175" i="7"/>
  <c r="B176" i="7"/>
  <c r="C176" i="7"/>
  <c r="D176" i="7"/>
  <c r="E176" i="7"/>
  <c r="F176" i="7"/>
  <c r="G176" i="7"/>
  <c r="H176" i="7"/>
  <c r="I176" i="7"/>
  <c r="J176" i="7"/>
  <c r="K176" i="7"/>
  <c r="B177" i="7"/>
  <c r="C177" i="7"/>
  <c r="D177" i="7"/>
  <c r="E177" i="7"/>
  <c r="F177" i="7"/>
  <c r="G177" i="7"/>
  <c r="H177" i="7"/>
  <c r="I177" i="7"/>
  <c r="J177" i="7"/>
  <c r="K177" i="7"/>
  <c r="B178" i="7"/>
  <c r="C178" i="7"/>
  <c r="D178" i="7"/>
  <c r="E178" i="7"/>
  <c r="F178" i="7"/>
  <c r="G178" i="7"/>
  <c r="H178" i="7"/>
  <c r="I178" i="7"/>
  <c r="J178" i="7"/>
  <c r="K178" i="7"/>
  <c r="B179" i="7"/>
  <c r="C179" i="7"/>
  <c r="D179" i="7"/>
  <c r="E179" i="7"/>
  <c r="F179" i="7"/>
  <c r="G179" i="7"/>
  <c r="H179" i="7"/>
  <c r="I179" i="7"/>
  <c r="J179" i="7"/>
  <c r="K179" i="7"/>
  <c r="B180" i="7"/>
  <c r="C180" i="7"/>
  <c r="D180" i="7"/>
  <c r="E180" i="7"/>
  <c r="F180" i="7"/>
  <c r="G180" i="7"/>
  <c r="H180" i="7"/>
  <c r="I180" i="7"/>
  <c r="J180" i="7"/>
  <c r="K180" i="7"/>
  <c r="B181" i="7"/>
  <c r="C181" i="7"/>
  <c r="D181" i="7"/>
  <c r="E181" i="7"/>
  <c r="F181" i="7"/>
  <c r="G181" i="7"/>
  <c r="H181" i="7"/>
  <c r="I181" i="7"/>
  <c r="J181" i="7"/>
  <c r="K181" i="7"/>
  <c r="B182" i="7"/>
  <c r="C182" i="7"/>
  <c r="D182" i="7"/>
  <c r="E182" i="7"/>
  <c r="F182" i="7"/>
  <c r="G182" i="7"/>
  <c r="H182" i="7"/>
  <c r="I182" i="7"/>
  <c r="J182" i="7"/>
  <c r="K182" i="7"/>
  <c r="B183" i="7"/>
  <c r="C183" i="7"/>
  <c r="D183" i="7"/>
  <c r="E183" i="7"/>
  <c r="F183" i="7"/>
  <c r="G183" i="7"/>
  <c r="H183" i="7"/>
  <c r="I183" i="7"/>
  <c r="J183" i="7"/>
  <c r="K183" i="7"/>
  <c r="B184" i="7"/>
  <c r="C184" i="7"/>
  <c r="D184" i="7"/>
  <c r="E184" i="7"/>
  <c r="F184" i="7"/>
  <c r="G184" i="7"/>
  <c r="H184" i="7"/>
  <c r="I184" i="7"/>
  <c r="J184" i="7"/>
  <c r="K184" i="7"/>
  <c r="B185" i="7"/>
  <c r="C185" i="7"/>
  <c r="D185" i="7"/>
  <c r="E185" i="7"/>
  <c r="F185" i="7"/>
  <c r="G185" i="7"/>
  <c r="H185" i="7"/>
  <c r="I185" i="7"/>
  <c r="J185" i="7"/>
  <c r="K185" i="7"/>
  <c r="B186" i="7"/>
  <c r="C186" i="7"/>
  <c r="D186" i="7"/>
  <c r="E186" i="7"/>
  <c r="F186" i="7"/>
  <c r="G186" i="7"/>
  <c r="H186" i="7"/>
  <c r="I186" i="7"/>
  <c r="J186" i="7"/>
  <c r="K186" i="7"/>
  <c r="B187" i="7"/>
  <c r="C187" i="7"/>
  <c r="D187" i="7"/>
  <c r="E187" i="7"/>
  <c r="F187" i="7"/>
  <c r="G187" i="7"/>
  <c r="H187" i="7"/>
  <c r="I187" i="7"/>
  <c r="J187" i="7"/>
  <c r="K187" i="7"/>
  <c r="B188" i="7"/>
  <c r="C188" i="7"/>
  <c r="D188" i="7"/>
  <c r="E188" i="7"/>
  <c r="F188" i="7"/>
  <c r="G188" i="7"/>
  <c r="H188" i="7"/>
  <c r="I188" i="7"/>
  <c r="J188" i="7"/>
  <c r="K188" i="7"/>
  <c r="B189" i="7"/>
  <c r="C189" i="7"/>
  <c r="D189" i="7"/>
  <c r="E189" i="7"/>
  <c r="F189" i="7"/>
  <c r="G189" i="7"/>
  <c r="H189" i="7"/>
  <c r="I189" i="7"/>
  <c r="J189" i="7"/>
  <c r="K189" i="7"/>
  <c r="B190" i="7"/>
  <c r="C190" i="7"/>
  <c r="D190" i="7"/>
  <c r="E190" i="7"/>
  <c r="F190" i="7"/>
  <c r="G190" i="7"/>
  <c r="H190" i="7"/>
  <c r="I190" i="7"/>
  <c r="J190" i="7"/>
  <c r="K190" i="7"/>
  <c r="B191" i="7"/>
  <c r="C191" i="7"/>
  <c r="D191" i="7"/>
  <c r="E191" i="7"/>
  <c r="F191" i="7"/>
  <c r="G191" i="7"/>
  <c r="H191" i="7"/>
  <c r="I191" i="7"/>
  <c r="J191" i="7"/>
  <c r="K191" i="7"/>
  <c r="B192" i="7"/>
  <c r="C192" i="7"/>
  <c r="D192" i="7"/>
  <c r="E192" i="7"/>
  <c r="F192" i="7"/>
  <c r="G192" i="7"/>
  <c r="H192" i="7"/>
  <c r="I192" i="7"/>
  <c r="J192" i="7"/>
  <c r="K192" i="7"/>
  <c r="B193" i="7"/>
  <c r="C193" i="7"/>
  <c r="D193" i="7"/>
  <c r="E193" i="7"/>
  <c r="F193" i="7"/>
  <c r="G193" i="7"/>
  <c r="H193" i="7"/>
  <c r="I193" i="7"/>
  <c r="J193" i="7"/>
  <c r="K193" i="7"/>
  <c r="B194" i="7"/>
  <c r="C194" i="7"/>
  <c r="D194" i="7"/>
  <c r="E194" i="7"/>
  <c r="F194" i="7"/>
  <c r="G194" i="7"/>
  <c r="H194" i="7"/>
  <c r="I194" i="7"/>
  <c r="J194" i="7"/>
  <c r="K194" i="7"/>
  <c r="B195" i="7"/>
  <c r="C195" i="7"/>
  <c r="D195" i="7"/>
  <c r="E195" i="7"/>
  <c r="F195" i="7"/>
  <c r="G195" i="7"/>
  <c r="H195" i="7"/>
  <c r="I195" i="7"/>
  <c r="J195" i="7"/>
  <c r="K195" i="7"/>
  <c r="B196" i="7"/>
  <c r="C196" i="7"/>
  <c r="D196" i="7"/>
  <c r="E196" i="7"/>
  <c r="F196" i="7"/>
  <c r="G196" i="7"/>
  <c r="H196" i="7"/>
  <c r="I196" i="7"/>
  <c r="J196" i="7"/>
  <c r="K196" i="7"/>
  <c r="B197" i="7"/>
  <c r="C197" i="7"/>
  <c r="D197" i="7"/>
  <c r="E197" i="7"/>
  <c r="F197" i="7"/>
  <c r="G197" i="7"/>
  <c r="H197" i="7"/>
  <c r="I197" i="7"/>
  <c r="J197" i="7"/>
  <c r="K197" i="7"/>
  <c r="B198" i="7"/>
  <c r="C198" i="7"/>
  <c r="D198" i="7"/>
  <c r="E198" i="7"/>
  <c r="F198" i="7"/>
  <c r="G198" i="7"/>
  <c r="H198" i="7"/>
  <c r="I198" i="7"/>
  <c r="J198" i="7"/>
  <c r="K198" i="7"/>
  <c r="B199" i="7"/>
  <c r="C199" i="7"/>
  <c r="D199" i="7"/>
  <c r="E199" i="7"/>
  <c r="F199" i="7"/>
  <c r="G199" i="7"/>
  <c r="H199" i="7"/>
  <c r="I199" i="7"/>
  <c r="J199" i="7"/>
  <c r="K199" i="7"/>
  <c r="B200" i="7"/>
  <c r="C200" i="7"/>
  <c r="D200" i="7"/>
  <c r="E200" i="7"/>
  <c r="F200" i="7"/>
  <c r="G200" i="7"/>
  <c r="H200" i="7"/>
  <c r="I200" i="7"/>
  <c r="J200" i="7"/>
  <c r="K200" i="7"/>
  <c r="B201" i="7"/>
  <c r="C201" i="7"/>
  <c r="D201" i="7"/>
  <c r="E201" i="7"/>
  <c r="F201" i="7"/>
  <c r="G201" i="7"/>
  <c r="H201" i="7"/>
  <c r="I201" i="7"/>
  <c r="J201" i="7"/>
  <c r="K201" i="7"/>
  <c r="B202" i="7"/>
  <c r="C202" i="7"/>
  <c r="D202" i="7"/>
  <c r="E202" i="7"/>
  <c r="F202" i="7"/>
  <c r="G202" i="7"/>
  <c r="H202" i="7"/>
  <c r="I202" i="7"/>
  <c r="J202" i="7"/>
  <c r="K202" i="7"/>
  <c r="B203" i="7"/>
  <c r="C203" i="7"/>
  <c r="D203" i="7"/>
  <c r="E203" i="7"/>
  <c r="F203" i="7"/>
  <c r="G203" i="7"/>
  <c r="H203" i="7"/>
  <c r="I203" i="7"/>
  <c r="J203" i="7"/>
  <c r="K203" i="7"/>
  <c r="B204" i="7"/>
  <c r="C204" i="7"/>
  <c r="D204" i="7"/>
  <c r="E204" i="7"/>
  <c r="F204" i="7"/>
  <c r="G204" i="7"/>
  <c r="H204" i="7"/>
  <c r="I204" i="7"/>
  <c r="J204" i="7"/>
  <c r="K204" i="7"/>
  <c r="B205" i="7"/>
  <c r="C205" i="7"/>
  <c r="D205" i="7"/>
  <c r="E205" i="7"/>
  <c r="F205" i="7"/>
  <c r="G205" i="7"/>
  <c r="H205" i="7"/>
  <c r="I205" i="7"/>
  <c r="J205" i="7"/>
  <c r="K205" i="7"/>
  <c r="B206" i="7"/>
  <c r="C206" i="7"/>
  <c r="D206" i="7"/>
  <c r="E206" i="7"/>
  <c r="F206" i="7"/>
  <c r="G206" i="7"/>
  <c r="H206" i="7"/>
  <c r="I206" i="7"/>
  <c r="J206" i="7"/>
  <c r="K206" i="7"/>
  <c r="B207" i="7"/>
  <c r="C207" i="7"/>
  <c r="D207" i="7"/>
  <c r="E207" i="7"/>
  <c r="F207" i="7"/>
  <c r="G207" i="7"/>
  <c r="H207" i="7"/>
  <c r="I207" i="7"/>
  <c r="J207" i="7"/>
  <c r="K207" i="7"/>
  <c r="B208" i="7"/>
  <c r="C208" i="7"/>
  <c r="D208" i="7"/>
  <c r="E208" i="7"/>
  <c r="F208" i="7"/>
  <c r="G208" i="7"/>
  <c r="H208" i="7"/>
  <c r="I208" i="7"/>
  <c r="J208" i="7"/>
  <c r="K208" i="7"/>
  <c r="B209" i="7"/>
  <c r="C209" i="7"/>
  <c r="D209" i="7"/>
  <c r="E209" i="7"/>
  <c r="F209" i="7"/>
  <c r="G209" i="7"/>
  <c r="H209" i="7"/>
  <c r="I209" i="7"/>
  <c r="J209" i="7"/>
  <c r="K209" i="7"/>
  <c r="B210" i="7"/>
  <c r="C210" i="7"/>
  <c r="D210" i="7"/>
  <c r="E210" i="7"/>
  <c r="F210" i="7"/>
  <c r="G210" i="7"/>
  <c r="H210" i="7"/>
  <c r="I210" i="7"/>
  <c r="J210" i="7"/>
  <c r="K210" i="7"/>
  <c r="B211" i="7"/>
  <c r="C211" i="7"/>
  <c r="D211" i="7"/>
  <c r="E211" i="7"/>
  <c r="F211" i="7"/>
  <c r="G211" i="7"/>
  <c r="H211" i="7"/>
  <c r="I211" i="7"/>
  <c r="J211" i="7"/>
  <c r="K211" i="7"/>
  <c r="B212" i="7"/>
  <c r="C212" i="7"/>
  <c r="D212" i="7"/>
  <c r="E212" i="7"/>
  <c r="F212" i="7"/>
  <c r="G212" i="7"/>
  <c r="H212" i="7"/>
  <c r="I212" i="7"/>
  <c r="J212" i="7"/>
  <c r="K212" i="7"/>
  <c r="B213" i="7"/>
  <c r="C213" i="7"/>
  <c r="D213" i="7"/>
  <c r="E213" i="7"/>
  <c r="F213" i="7"/>
  <c r="G213" i="7"/>
  <c r="H213" i="7"/>
  <c r="I213" i="7"/>
  <c r="J213" i="7"/>
  <c r="K213" i="7"/>
  <c r="B214" i="7"/>
  <c r="C214" i="7"/>
  <c r="D214" i="7"/>
  <c r="E214" i="7"/>
  <c r="F214" i="7"/>
  <c r="G214" i="7"/>
  <c r="H214" i="7"/>
  <c r="I214" i="7"/>
  <c r="J214" i="7"/>
  <c r="K214" i="7"/>
  <c r="B215" i="7"/>
  <c r="C215" i="7"/>
  <c r="D215" i="7"/>
  <c r="E215" i="7"/>
  <c r="F215" i="7"/>
  <c r="G215" i="7"/>
  <c r="H215" i="7"/>
  <c r="I215" i="7"/>
  <c r="J215" i="7"/>
  <c r="K215" i="7"/>
  <c r="B216" i="7"/>
  <c r="C216" i="7"/>
  <c r="D216" i="7"/>
  <c r="E216" i="7"/>
  <c r="F216" i="7"/>
  <c r="G216" i="7"/>
  <c r="H216" i="7"/>
  <c r="I216" i="7"/>
  <c r="J216" i="7"/>
  <c r="K216" i="7"/>
  <c r="B217" i="7"/>
  <c r="C217" i="7"/>
  <c r="D217" i="7"/>
  <c r="E217" i="7"/>
  <c r="F217" i="7"/>
  <c r="G217" i="7"/>
  <c r="H217" i="7"/>
  <c r="I217" i="7"/>
  <c r="J217" i="7"/>
  <c r="K217" i="7"/>
  <c r="B218" i="7"/>
  <c r="C218" i="7"/>
  <c r="D218" i="7"/>
  <c r="E218" i="7"/>
  <c r="F218" i="7"/>
  <c r="G218" i="7"/>
  <c r="H218" i="7"/>
  <c r="I218" i="7"/>
  <c r="J218" i="7"/>
  <c r="K218" i="7"/>
  <c r="B219" i="7"/>
  <c r="C219" i="7"/>
  <c r="D219" i="7"/>
  <c r="E219" i="7"/>
  <c r="F219" i="7"/>
  <c r="G219" i="7"/>
  <c r="H219" i="7"/>
  <c r="I219" i="7"/>
  <c r="J219" i="7"/>
  <c r="K219" i="7"/>
  <c r="B220" i="7"/>
  <c r="C220" i="7"/>
  <c r="D220" i="7"/>
  <c r="E220" i="7"/>
  <c r="F220" i="7"/>
  <c r="G220" i="7"/>
  <c r="H220" i="7"/>
  <c r="I220" i="7"/>
  <c r="J220" i="7"/>
  <c r="K220" i="7"/>
  <c r="B221" i="7"/>
  <c r="C221" i="7"/>
  <c r="D221" i="7"/>
  <c r="E221" i="7"/>
  <c r="F221" i="7"/>
  <c r="G221" i="7"/>
  <c r="H221" i="7"/>
  <c r="I221" i="7"/>
  <c r="J221" i="7"/>
  <c r="K221" i="7"/>
  <c r="B222" i="7"/>
  <c r="C222" i="7"/>
  <c r="D222" i="7"/>
  <c r="E222" i="7"/>
  <c r="F222" i="7"/>
  <c r="G222" i="7"/>
  <c r="H222" i="7"/>
  <c r="I222" i="7"/>
  <c r="J222" i="7"/>
  <c r="K222" i="7"/>
  <c r="B223" i="7"/>
  <c r="C223" i="7"/>
  <c r="D223" i="7"/>
  <c r="E223" i="7"/>
  <c r="F223" i="7"/>
  <c r="G223" i="7"/>
  <c r="H223" i="7"/>
  <c r="I223" i="7"/>
  <c r="J223" i="7"/>
  <c r="K223" i="7"/>
  <c r="B224" i="7"/>
  <c r="C224" i="7"/>
  <c r="D224" i="7"/>
  <c r="E224" i="7"/>
  <c r="F224" i="7"/>
  <c r="G224" i="7"/>
  <c r="H224" i="7"/>
  <c r="I224" i="7"/>
  <c r="J224" i="7"/>
  <c r="K224" i="7"/>
  <c r="B225" i="7"/>
  <c r="C225" i="7"/>
  <c r="D225" i="7"/>
  <c r="E225" i="7"/>
  <c r="F225" i="7"/>
  <c r="G225" i="7"/>
  <c r="H225" i="7"/>
  <c r="I225" i="7"/>
  <c r="J225" i="7"/>
  <c r="K225" i="7"/>
  <c r="C3" i="7"/>
  <c r="D3" i="7"/>
  <c r="E3" i="7"/>
  <c r="F3" i="7"/>
  <c r="G3" i="7"/>
  <c r="H3" i="7"/>
  <c r="I3" i="7"/>
  <c r="J3" i="7"/>
  <c r="K3" i="7"/>
  <c r="B3" i="7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02" i="6"/>
  <c r="J203" i="6"/>
  <c r="J204" i="6"/>
  <c r="J205" i="6"/>
  <c r="J206" i="6"/>
  <c r="J207" i="6"/>
  <c r="J208" i="6"/>
  <c r="J209" i="6"/>
  <c r="J210" i="6"/>
  <c r="J211" i="6"/>
  <c r="J212" i="6"/>
  <c r="J213" i="6"/>
  <c r="J214" i="6"/>
  <c r="J215" i="6"/>
  <c r="J216" i="6"/>
  <c r="J217" i="6"/>
  <c r="J218" i="6"/>
  <c r="J219" i="6"/>
  <c r="J220" i="6"/>
  <c r="J221" i="6"/>
  <c r="J222" i="6"/>
  <c r="J223" i="6"/>
  <c r="J224" i="6"/>
  <c r="J225" i="6"/>
  <c r="J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3" i="6"/>
  <c r="B4" i="5"/>
  <c r="C4" i="5"/>
  <c r="D4" i="5"/>
  <c r="E4" i="5"/>
  <c r="F4" i="5"/>
  <c r="G4" i="5"/>
  <c r="H4" i="5"/>
  <c r="I4" i="5"/>
  <c r="J4" i="5"/>
  <c r="K4" i="5"/>
  <c r="B5" i="5"/>
  <c r="C5" i="5"/>
  <c r="D5" i="5"/>
  <c r="E5" i="5"/>
  <c r="F5" i="5"/>
  <c r="G5" i="5"/>
  <c r="H5" i="5"/>
  <c r="I5" i="5"/>
  <c r="J5" i="5"/>
  <c r="K5" i="5"/>
  <c r="B6" i="5"/>
  <c r="C6" i="5"/>
  <c r="D6" i="5"/>
  <c r="E6" i="5"/>
  <c r="F6" i="5"/>
  <c r="G6" i="5"/>
  <c r="H6" i="5"/>
  <c r="I6" i="5"/>
  <c r="J6" i="5"/>
  <c r="K6" i="5"/>
  <c r="B7" i="5"/>
  <c r="C7" i="5"/>
  <c r="D7" i="5"/>
  <c r="E7" i="5"/>
  <c r="F7" i="5"/>
  <c r="G7" i="5"/>
  <c r="H7" i="5"/>
  <c r="I7" i="5"/>
  <c r="J7" i="5"/>
  <c r="K7" i="5"/>
  <c r="B8" i="5"/>
  <c r="C8" i="5"/>
  <c r="D8" i="5"/>
  <c r="E8" i="5"/>
  <c r="F8" i="5"/>
  <c r="G8" i="5"/>
  <c r="H8" i="5"/>
  <c r="I8" i="5"/>
  <c r="J8" i="5"/>
  <c r="K8" i="5"/>
  <c r="B9" i="5"/>
  <c r="C9" i="5"/>
  <c r="D9" i="5"/>
  <c r="E9" i="5"/>
  <c r="F9" i="5"/>
  <c r="G9" i="5"/>
  <c r="H9" i="5"/>
  <c r="I9" i="5"/>
  <c r="J9" i="5"/>
  <c r="K9" i="5"/>
  <c r="B10" i="5"/>
  <c r="C10" i="5"/>
  <c r="D10" i="5"/>
  <c r="E10" i="5"/>
  <c r="F10" i="5"/>
  <c r="G10" i="5"/>
  <c r="H10" i="5"/>
  <c r="I10" i="5"/>
  <c r="J10" i="5"/>
  <c r="K10" i="5"/>
  <c r="B11" i="5"/>
  <c r="C11" i="5"/>
  <c r="D11" i="5"/>
  <c r="E11" i="5"/>
  <c r="F11" i="5"/>
  <c r="G11" i="5"/>
  <c r="H11" i="5"/>
  <c r="I11" i="5"/>
  <c r="J11" i="5"/>
  <c r="K11" i="5"/>
  <c r="B12" i="5"/>
  <c r="C12" i="5"/>
  <c r="D12" i="5"/>
  <c r="E12" i="5"/>
  <c r="F12" i="5"/>
  <c r="G12" i="5"/>
  <c r="H12" i="5"/>
  <c r="I12" i="5"/>
  <c r="J12" i="5"/>
  <c r="K12" i="5"/>
  <c r="B13" i="5"/>
  <c r="C13" i="5"/>
  <c r="D13" i="5"/>
  <c r="E13" i="5"/>
  <c r="F13" i="5"/>
  <c r="G13" i="5"/>
  <c r="H13" i="5"/>
  <c r="I13" i="5"/>
  <c r="J13" i="5"/>
  <c r="K13" i="5"/>
  <c r="B14" i="5"/>
  <c r="C14" i="5"/>
  <c r="D14" i="5"/>
  <c r="E14" i="5"/>
  <c r="F14" i="5"/>
  <c r="G14" i="5"/>
  <c r="H14" i="5"/>
  <c r="I14" i="5"/>
  <c r="J14" i="5"/>
  <c r="K14" i="5"/>
  <c r="B15" i="5"/>
  <c r="C15" i="5"/>
  <c r="D15" i="5"/>
  <c r="E15" i="5"/>
  <c r="F15" i="5"/>
  <c r="G15" i="5"/>
  <c r="H15" i="5"/>
  <c r="I15" i="5"/>
  <c r="J15" i="5"/>
  <c r="K15" i="5"/>
  <c r="B16" i="5"/>
  <c r="C16" i="5"/>
  <c r="D16" i="5"/>
  <c r="E16" i="5"/>
  <c r="F16" i="5"/>
  <c r="G16" i="5"/>
  <c r="H16" i="5"/>
  <c r="I16" i="5"/>
  <c r="J16" i="5"/>
  <c r="K16" i="5"/>
  <c r="B17" i="5"/>
  <c r="C17" i="5"/>
  <c r="D17" i="5"/>
  <c r="E17" i="5"/>
  <c r="F17" i="5"/>
  <c r="G17" i="5"/>
  <c r="H17" i="5"/>
  <c r="I17" i="5"/>
  <c r="J17" i="5"/>
  <c r="K17" i="5"/>
  <c r="B18" i="5"/>
  <c r="C18" i="5"/>
  <c r="D18" i="5"/>
  <c r="E18" i="5"/>
  <c r="F18" i="5"/>
  <c r="G18" i="5"/>
  <c r="H18" i="5"/>
  <c r="I18" i="5"/>
  <c r="J18" i="5"/>
  <c r="K18" i="5"/>
  <c r="B19" i="5"/>
  <c r="C19" i="5"/>
  <c r="D19" i="5"/>
  <c r="E19" i="5"/>
  <c r="F19" i="5"/>
  <c r="G19" i="5"/>
  <c r="H19" i="5"/>
  <c r="I19" i="5"/>
  <c r="J19" i="5"/>
  <c r="K19" i="5"/>
  <c r="B20" i="5"/>
  <c r="C20" i="5"/>
  <c r="D20" i="5"/>
  <c r="E20" i="5"/>
  <c r="F20" i="5"/>
  <c r="G20" i="5"/>
  <c r="H20" i="5"/>
  <c r="I20" i="5"/>
  <c r="J20" i="5"/>
  <c r="K20" i="5"/>
  <c r="B21" i="5"/>
  <c r="C21" i="5"/>
  <c r="D21" i="5"/>
  <c r="E21" i="5"/>
  <c r="F21" i="5"/>
  <c r="G21" i="5"/>
  <c r="H21" i="5"/>
  <c r="I21" i="5"/>
  <c r="J21" i="5"/>
  <c r="K21" i="5"/>
  <c r="B22" i="5"/>
  <c r="C22" i="5"/>
  <c r="D22" i="5"/>
  <c r="E22" i="5"/>
  <c r="F22" i="5"/>
  <c r="G22" i="5"/>
  <c r="H22" i="5"/>
  <c r="I22" i="5"/>
  <c r="J22" i="5"/>
  <c r="K22" i="5"/>
  <c r="B23" i="5"/>
  <c r="C23" i="5"/>
  <c r="D23" i="5"/>
  <c r="E23" i="5"/>
  <c r="F23" i="5"/>
  <c r="G23" i="5"/>
  <c r="H23" i="5"/>
  <c r="I23" i="5"/>
  <c r="J23" i="5"/>
  <c r="K23" i="5"/>
  <c r="B24" i="5"/>
  <c r="C24" i="5"/>
  <c r="D24" i="5"/>
  <c r="E24" i="5"/>
  <c r="F24" i="5"/>
  <c r="G24" i="5"/>
  <c r="H24" i="5"/>
  <c r="I24" i="5"/>
  <c r="J24" i="5"/>
  <c r="K24" i="5"/>
  <c r="B25" i="5"/>
  <c r="C25" i="5"/>
  <c r="D25" i="5"/>
  <c r="E25" i="5"/>
  <c r="F25" i="5"/>
  <c r="G25" i="5"/>
  <c r="H25" i="5"/>
  <c r="I25" i="5"/>
  <c r="J25" i="5"/>
  <c r="K25" i="5"/>
  <c r="B26" i="5"/>
  <c r="C26" i="5"/>
  <c r="D26" i="5"/>
  <c r="E26" i="5"/>
  <c r="F26" i="5"/>
  <c r="G26" i="5"/>
  <c r="H26" i="5"/>
  <c r="I26" i="5"/>
  <c r="J26" i="5"/>
  <c r="K26" i="5"/>
  <c r="B27" i="5"/>
  <c r="C27" i="5"/>
  <c r="D27" i="5"/>
  <c r="E27" i="5"/>
  <c r="F27" i="5"/>
  <c r="G27" i="5"/>
  <c r="H27" i="5"/>
  <c r="I27" i="5"/>
  <c r="J27" i="5"/>
  <c r="K27" i="5"/>
  <c r="B28" i="5"/>
  <c r="C28" i="5"/>
  <c r="D28" i="5"/>
  <c r="E28" i="5"/>
  <c r="F28" i="5"/>
  <c r="G28" i="5"/>
  <c r="H28" i="5"/>
  <c r="I28" i="5"/>
  <c r="J28" i="5"/>
  <c r="K28" i="5"/>
  <c r="B29" i="5"/>
  <c r="C29" i="5"/>
  <c r="D29" i="5"/>
  <c r="E29" i="5"/>
  <c r="F29" i="5"/>
  <c r="G29" i="5"/>
  <c r="H29" i="5"/>
  <c r="I29" i="5"/>
  <c r="J29" i="5"/>
  <c r="K29" i="5"/>
  <c r="B30" i="5"/>
  <c r="C30" i="5"/>
  <c r="D30" i="5"/>
  <c r="E30" i="5"/>
  <c r="F30" i="5"/>
  <c r="G30" i="5"/>
  <c r="H30" i="5"/>
  <c r="I30" i="5"/>
  <c r="J30" i="5"/>
  <c r="K30" i="5"/>
  <c r="B31" i="5"/>
  <c r="C31" i="5"/>
  <c r="D31" i="5"/>
  <c r="E31" i="5"/>
  <c r="F31" i="5"/>
  <c r="G31" i="5"/>
  <c r="H31" i="5"/>
  <c r="I31" i="5"/>
  <c r="J31" i="5"/>
  <c r="K31" i="5"/>
  <c r="B32" i="5"/>
  <c r="C32" i="5"/>
  <c r="D32" i="5"/>
  <c r="E32" i="5"/>
  <c r="F32" i="5"/>
  <c r="G32" i="5"/>
  <c r="H32" i="5"/>
  <c r="I32" i="5"/>
  <c r="J32" i="5"/>
  <c r="K32" i="5"/>
  <c r="B33" i="5"/>
  <c r="C33" i="5"/>
  <c r="D33" i="5"/>
  <c r="E33" i="5"/>
  <c r="F33" i="5"/>
  <c r="G33" i="5"/>
  <c r="H33" i="5"/>
  <c r="I33" i="5"/>
  <c r="J33" i="5"/>
  <c r="K33" i="5"/>
  <c r="B34" i="5"/>
  <c r="C34" i="5"/>
  <c r="D34" i="5"/>
  <c r="E34" i="5"/>
  <c r="F34" i="5"/>
  <c r="G34" i="5"/>
  <c r="H34" i="5"/>
  <c r="I34" i="5"/>
  <c r="J34" i="5"/>
  <c r="K34" i="5"/>
  <c r="B35" i="5"/>
  <c r="C35" i="5"/>
  <c r="D35" i="5"/>
  <c r="E35" i="5"/>
  <c r="F35" i="5"/>
  <c r="G35" i="5"/>
  <c r="H35" i="5"/>
  <c r="I35" i="5"/>
  <c r="J35" i="5"/>
  <c r="K35" i="5"/>
  <c r="B36" i="5"/>
  <c r="C36" i="5"/>
  <c r="D36" i="5"/>
  <c r="E36" i="5"/>
  <c r="F36" i="5"/>
  <c r="G36" i="5"/>
  <c r="H36" i="5"/>
  <c r="I36" i="5"/>
  <c r="J36" i="5"/>
  <c r="K36" i="5"/>
  <c r="B37" i="5"/>
  <c r="C37" i="5"/>
  <c r="D37" i="5"/>
  <c r="E37" i="5"/>
  <c r="F37" i="5"/>
  <c r="G37" i="5"/>
  <c r="H37" i="5"/>
  <c r="I37" i="5"/>
  <c r="J37" i="5"/>
  <c r="K37" i="5"/>
  <c r="B38" i="5"/>
  <c r="C38" i="5"/>
  <c r="D38" i="5"/>
  <c r="E38" i="5"/>
  <c r="F38" i="5"/>
  <c r="G38" i="5"/>
  <c r="H38" i="5"/>
  <c r="I38" i="5"/>
  <c r="J38" i="5"/>
  <c r="K38" i="5"/>
  <c r="B39" i="5"/>
  <c r="C39" i="5"/>
  <c r="D39" i="5"/>
  <c r="E39" i="5"/>
  <c r="F39" i="5"/>
  <c r="G39" i="5"/>
  <c r="H39" i="5"/>
  <c r="I39" i="5"/>
  <c r="J39" i="5"/>
  <c r="K39" i="5"/>
  <c r="B40" i="5"/>
  <c r="C40" i="5"/>
  <c r="D40" i="5"/>
  <c r="E40" i="5"/>
  <c r="F40" i="5"/>
  <c r="G40" i="5"/>
  <c r="H40" i="5"/>
  <c r="I40" i="5"/>
  <c r="J40" i="5"/>
  <c r="K40" i="5"/>
  <c r="B41" i="5"/>
  <c r="C41" i="5"/>
  <c r="D41" i="5"/>
  <c r="E41" i="5"/>
  <c r="F41" i="5"/>
  <c r="G41" i="5"/>
  <c r="H41" i="5"/>
  <c r="I41" i="5"/>
  <c r="J41" i="5"/>
  <c r="K41" i="5"/>
  <c r="B42" i="5"/>
  <c r="C42" i="5"/>
  <c r="D42" i="5"/>
  <c r="E42" i="5"/>
  <c r="F42" i="5"/>
  <c r="G42" i="5"/>
  <c r="H42" i="5"/>
  <c r="I42" i="5"/>
  <c r="J42" i="5"/>
  <c r="K42" i="5"/>
  <c r="B43" i="5"/>
  <c r="C43" i="5"/>
  <c r="D43" i="5"/>
  <c r="E43" i="5"/>
  <c r="F43" i="5"/>
  <c r="G43" i="5"/>
  <c r="H43" i="5"/>
  <c r="I43" i="5"/>
  <c r="J43" i="5"/>
  <c r="K43" i="5"/>
  <c r="B44" i="5"/>
  <c r="C44" i="5"/>
  <c r="D44" i="5"/>
  <c r="E44" i="5"/>
  <c r="F44" i="5"/>
  <c r="G44" i="5"/>
  <c r="H44" i="5"/>
  <c r="I44" i="5"/>
  <c r="J44" i="5"/>
  <c r="K44" i="5"/>
  <c r="B45" i="5"/>
  <c r="C45" i="5"/>
  <c r="D45" i="5"/>
  <c r="E45" i="5"/>
  <c r="F45" i="5"/>
  <c r="G45" i="5"/>
  <c r="H45" i="5"/>
  <c r="I45" i="5"/>
  <c r="J45" i="5"/>
  <c r="K45" i="5"/>
  <c r="B46" i="5"/>
  <c r="C46" i="5"/>
  <c r="D46" i="5"/>
  <c r="E46" i="5"/>
  <c r="F46" i="5"/>
  <c r="G46" i="5"/>
  <c r="H46" i="5"/>
  <c r="I46" i="5"/>
  <c r="J46" i="5"/>
  <c r="K46" i="5"/>
  <c r="B47" i="5"/>
  <c r="C47" i="5"/>
  <c r="D47" i="5"/>
  <c r="E47" i="5"/>
  <c r="F47" i="5"/>
  <c r="G47" i="5"/>
  <c r="H47" i="5"/>
  <c r="I47" i="5"/>
  <c r="J47" i="5"/>
  <c r="K47" i="5"/>
  <c r="B48" i="5"/>
  <c r="C48" i="5"/>
  <c r="D48" i="5"/>
  <c r="E48" i="5"/>
  <c r="F48" i="5"/>
  <c r="G48" i="5"/>
  <c r="H48" i="5"/>
  <c r="I48" i="5"/>
  <c r="J48" i="5"/>
  <c r="K48" i="5"/>
  <c r="B49" i="5"/>
  <c r="C49" i="5"/>
  <c r="D49" i="5"/>
  <c r="E49" i="5"/>
  <c r="F49" i="5"/>
  <c r="G49" i="5"/>
  <c r="H49" i="5"/>
  <c r="I49" i="5"/>
  <c r="J49" i="5"/>
  <c r="K49" i="5"/>
  <c r="B50" i="5"/>
  <c r="C50" i="5"/>
  <c r="D50" i="5"/>
  <c r="E50" i="5"/>
  <c r="F50" i="5"/>
  <c r="G50" i="5"/>
  <c r="H50" i="5"/>
  <c r="I50" i="5"/>
  <c r="J50" i="5"/>
  <c r="K50" i="5"/>
  <c r="B51" i="5"/>
  <c r="C51" i="5"/>
  <c r="D51" i="5"/>
  <c r="E51" i="5"/>
  <c r="F51" i="5"/>
  <c r="G51" i="5"/>
  <c r="H51" i="5"/>
  <c r="I51" i="5"/>
  <c r="J51" i="5"/>
  <c r="K51" i="5"/>
  <c r="B52" i="5"/>
  <c r="C52" i="5"/>
  <c r="D52" i="5"/>
  <c r="E52" i="5"/>
  <c r="F52" i="5"/>
  <c r="G52" i="5"/>
  <c r="H52" i="5"/>
  <c r="I52" i="5"/>
  <c r="J52" i="5"/>
  <c r="K52" i="5"/>
  <c r="B53" i="5"/>
  <c r="C53" i="5"/>
  <c r="D53" i="5"/>
  <c r="E53" i="5"/>
  <c r="F53" i="5"/>
  <c r="G53" i="5"/>
  <c r="H53" i="5"/>
  <c r="I53" i="5"/>
  <c r="J53" i="5"/>
  <c r="K53" i="5"/>
  <c r="B54" i="5"/>
  <c r="C54" i="5"/>
  <c r="D54" i="5"/>
  <c r="E54" i="5"/>
  <c r="F54" i="5"/>
  <c r="G54" i="5"/>
  <c r="H54" i="5"/>
  <c r="I54" i="5"/>
  <c r="J54" i="5"/>
  <c r="K54" i="5"/>
  <c r="B55" i="5"/>
  <c r="C55" i="5"/>
  <c r="D55" i="5"/>
  <c r="E55" i="5"/>
  <c r="F55" i="5"/>
  <c r="G55" i="5"/>
  <c r="H55" i="5"/>
  <c r="I55" i="5"/>
  <c r="J55" i="5"/>
  <c r="K55" i="5"/>
  <c r="B56" i="5"/>
  <c r="C56" i="5"/>
  <c r="D56" i="5"/>
  <c r="E56" i="5"/>
  <c r="F56" i="5"/>
  <c r="G56" i="5"/>
  <c r="H56" i="5"/>
  <c r="I56" i="5"/>
  <c r="J56" i="5"/>
  <c r="K56" i="5"/>
  <c r="B57" i="5"/>
  <c r="C57" i="5"/>
  <c r="D57" i="5"/>
  <c r="E57" i="5"/>
  <c r="F57" i="5"/>
  <c r="G57" i="5"/>
  <c r="H57" i="5"/>
  <c r="I57" i="5"/>
  <c r="J57" i="5"/>
  <c r="K57" i="5"/>
  <c r="B58" i="5"/>
  <c r="C58" i="5"/>
  <c r="D58" i="5"/>
  <c r="E58" i="5"/>
  <c r="F58" i="5"/>
  <c r="G58" i="5"/>
  <c r="H58" i="5"/>
  <c r="I58" i="5"/>
  <c r="J58" i="5"/>
  <c r="K58" i="5"/>
  <c r="B59" i="5"/>
  <c r="C59" i="5"/>
  <c r="D59" i="5"/>
  <c r="E59" i="5"/>
  <c r="F59" i="5"/>
  <c r="G59" i="5"/>
  <c r="H59" i="5"/>
  <c r="I59" i="5"/>
  <c r="J59" i="5"/>
  <c r="K59" i="5"/>
  <c r="B60" i="5"/>
  <c r="C60" i="5"/>
  <c r="D60" i="5"/>
  <c r="E60" i="5"/>
  <c r="F60" i="5"/>
  <c r="G60" i="5"/>
  <c r="H60" i="5"/>
  <c r="I60" i="5"/>
  <c r="J60" i="5"/>
  <c r="K60" i="5"/>
  <c r="B61" i="5"/>
  <c r="C61" i="5"/>
  <c r="D61" i="5"/>
  <c r="E61" i="5"/>
  <c r="F61" i="5"/>
  <c r="G61" i="5"/>
  <c r="H61" i="5"/>
  <c r="I61" i="5"/>
  <c r="J61" i="5"/>
  <c r="K61" i="5"/>
  <c r="B62" i="5"/>
  <c r="C62" i="5"/>
  <c r="D62" i="5"/>
  <c r="E62" i="5"/>
  <c r="F62" i="5"/>
  <c r="G62" i="5"/>
  <c r="H62" i="5"/>
  <c r="I62" i="5"/>
  <c r="J62" i="5"/>
  <c r="K62" i="5"/>
  <c r="B63" i="5"/>
  <c r="C63" i="5"/>
  <c r="D63" i="5"/>
  <c r="E63" i="5"/>
  <c r="F63" i="5"/>
  <c r="G63" i="5"/>
  <c r="H63" i="5"/>
  <c r="I63" i="5"/>
  <c r="J63" i="5"/>
  <c r="K63" i="5"/>
  <c r="B64" i="5"/>
  <c r="C64" i="5"/>
  <c r="D64" i="5"/>
  <c r="E64" i="5"/>
  <c r="F64" i="5"/>
  <c r="G64" i="5"/>
  <c r="H64" i="5"/>
  <c r="I64" i="5"/>
  <c r="J64" i="5"/>
  <c r="K64" i="5"/>
  <c r="B65" i="5"/>
  <c r="C65" i="5"/>
  <c r="D65" i="5"/>
  <c r="E65" i="5"/>
  <c r="F65" i="5"/>
  <c r="G65" i="5"/>
  <c r="H65" i="5"/>
  <c r="I65" i="5"/>
  <c r="J65" i="5"/>
  <c r="K65" i="5"/>
  <c r="B66" i="5"/>
  <c r="C66" i="5"/>
  <c r="D66" i="5"/>
  <c r="E66" i="5"/>
  <c r="F66" i="5"/>
  <c r="G66" i="5"/>
  <c r="H66" i="5"/>
  <c r="I66" i="5"/>
  <c r="J66" i="5"/>
  <c r="K66" i="5"/>
  <c r="B67" i="5"/>
  <c r="C67" i="5"/>
  <c r="D67" i="5"/>
  <c r="E67" i="5"/>
  <c r="F67" i="5"/>
  <c r="G67" i="5"/>
  <c r="H67" i="5"/>
  <c r="I67" i="5"/>
  <c r="J67" i="5"/>
  <c r="K67" i="5"/>
  <c r="B68" i="5"/>
  <c r="C68" i="5"/>
  <c r="D68" i="5"/>
  <c r="E68" i="5"/>
  <c r="F68" i="5"/>
  <c r="G68" i="5"/>
  <c r="H68" i="5"/>
  <c r="I68" i="5"/>
  <c r="J68" i="5"/>
  <c r="K68" i="5"/>
  <c r="B69" i="5"/>
  <c r="C69" i="5"/>
  <c r="D69" i="5"/>
  <c r="E69" i="5"/>
  <c r="F69" i="5"/>
  <c r="G69" i="5"/>
  <c r="H69" i="5"/>
  <c r="I69" i="5"/>
  <c r="J69" i="5"/>
  <c r="K69" i="5"/>
  <c r="B70" i="5"/>
  <c r="C70" i="5"/>
  <c r="D70" i="5"/>
  <c r="E70" i="5"/>
  <c r="F70" i="5"/>
  <c r="G70" i="5"/>
  <c r="H70" i="5"/>
  <c r="I70" i="5"/>
  <c r="J70" i="5"/>
  <c r="K70" i="5"/>
  <c r="B71" i="5"/>
  <c r="C71" i="5"/>
  <c r="D71" i="5"/>
  <c r="E71" i="5"/>
  <c r="F71" i="5"/>
  <c r="G71" i="5"/>
  <c r="H71" i="5"/>
  <c r="I71" i="5"/>
  <c r="J71" i="5"/>
  <c r="K71" i="5"/>
  <c r="B72" i="5"/>
  <c r="C72" i="5"/>
  <c r="D72" i="5"/>
  <c r="E72" i="5"/>
  <c r="F72" i="5"/>
  <c r="G72" i="5"/>
  <c r="H72" i="5"/>
  <c r="I72" i="5"/>
  <c r="J72" i="5"/>
  <c r="K72" i="5"/>
  <c r="B73" i="5"/>
  <c r="C73" i="5"/>
  <c r="D73" i="5"/>
  <c r="E73" i="5"/>
  <c r="F73" i="5"/>
  <c r="G73" i="5"/>
  <c r="H73" i="5"/>
  <c r="I73" i="5"/>
  <c r="J73" i="5"/>
  <c r="K73" i="5"/>
  <c r="B74" i="5"/>
  <c r="C74" i="5"/>
  <c r="D74" i="5"/>
  <c r="E74" i="5"/>
  <c r="F74" i="5"/>
  <c r="G74" i="5"/>
  <c r="H74" i="5"/>
  <c r="I74" i="5"/>
  <c r="J74" i="5"/>
  <c r="K74" i="5"/>
  <c r="B75" i="5"/>
  <c r="C75" i="5"/>
  <c r="D75" i="5"/>
  <c r="E75" i="5"/>
  <c r="F75" i="5"/>
  <c r="G75" i="5"/>
  <c r="H75" i="5"/>
  <c r="I75" i="5"/>
  <c r="J75" i="5"/>
  <c r="K75" i="5"/>
  <c r="B76" i="5"/>
  <c r="C76" i="5"/>
  <c r="D76" i="5"/>
  <c r="E76" i="5"/>
  <c r="F76" i="5"/>
  <c r="G76" i="5"/>
  <c r="H76" i="5"/>
  <c r="I76" i="5"/>
  <c r="J76" i="5"/>
  <c r="K76" i="5"/>
  <c r="B77" i="5"/>
  <c r="C77" i="5"/>
  <c r="D77" i="5"/>
  <c r="E77" i="5"/>
  <c r="F77" i="5"/>
  <c r="G77" i="5"/>
  <c r="H77" i="5"/>
  <c r="I77" i="5"/>
  <c r="J77" i="5"/>
  <c r="K77" i="5"/>
  <c r="B78" i="5"/>
  <c r="C78" i="5"/>
  <c r="D78" i="5"/>
  <c r="E78" i="5"/>
  <c r="F78" i="5"/>
  <c r="G78" i="5"/>
  <c r="H78" i="5"/>
  <c r="I78" i="5"/>
  <c r="J78" i="5"/>
  <c r="K78" i="5"/>
  <c r="B79" i="5"/>
  <c r="C79" i="5"/>
  <c r="D79" i="5"/>
  <c r="E79" i="5"/>
  <c r="F79" i="5"/>
  <c r="G79" i="5"/>
  <c r="H79" i="5"/>
  <c r="I79" i="5"/>
  <c r="J79" i="5"/>
  <c r="K79" i="5"/>
  <c r="B80" i="5"/>
  <c r="C80" i="5"/>
  <c r="D80" i="5"/>
  <c r="E80" i="5"/>
  <c r="F80" i="5"/>
  <c r="G80" i="5"/>
  <c r="H80" i="5"/>
  <c r="I80" i="5"/>
  <c r="J80" i="5"/>
  <c r="K80" i="5"/>
  <c r="B81" i="5"/>
  <c r="C81" i="5"/>
  <c r="D81" i="5"/>
  <c r="E81" i="5"/>
  <c r="F81" i="5"/>
  <c r="G81" i="5"/>
  <c r="H81" i="5"/>
  <c r="I81" i="5"/>
  <c r="J81" i="5"/>
  <c r="K81" i="5"/>
  <c r="B82" i="5"/>
  <c r="C82" i="5"/>
  <c r="D82" i="5"/>
  <c r="E82" i="5"/>
  <c r="F82" i="5"/>
  <c r="G82" i="5"/>
  <c r="H82" i="5"/>
  <c r="I82" i="5"/>
  <c r="J82" i="5"/>
  <c r="K82" i="5"/>
  <c r="B83" i="5"/>
  <c r="C83" i="5"/>
  <c r="D83" i="5"/>
  <c r="E83" i="5"/>
  <c r="F83" i="5"/>
  <c r="G83" i="5"/>
  <c r="H83" i="5"/>
  <c r="I83" i="5"/>
  <c r="J83" i="5"/>
  <c r="K83" i="5"/>
  <c r="B84" i="5"/>
  <c r="C84" i="5"/>
  <c r="D84" i="5"/>
  <c r="E84" i="5"/>
  <c r="F84" i="5"/>
  <c r="G84" i="5"/>
  <c r="H84" i="5"/>
  <c r="I84" i="5"/>
  <c r="J84" i="5"/>
  <c r="K84" i="5"/>
  <c r="B85" i="5"/>
  <c r="C85" i="5"/>
  <c r="D85" i="5"/>
  <c r="E85" i="5"/>
  <c r="F85" i="5"/>
  <c r="G85" i="5"/>
  <c r="H85" i="5"/>
  <c r="I85" i="5"/>
  <c r="J85" i="5"/>
  <c r="K85" i="5"/>
  <c r="B86" i="5"/>
  <c r="C86" i="5"/>
  <c r="D86" i="5"/>
  <c r="E86" i="5"/>
  <c r="F86" i="5"/>
  <c r="G86" i="5"/>
  <c r="H86" i="5"/>
  <c r="I86" i="5"/>
  <c r="J86" i="5"/>
  <c r="K86" i="5"/>
  <c r="B87" i="5"/>
  <c r="C87" i="5"/>
  <c r="D87" i="5"/>
  <c r="E87" i="5"/>
  <c r="F87" i="5"/>
  <c r="G87" i="5"/>
  <c r="H87" i="5"/>
  <c r="I87" i="5"/>
  <c r="J87" i="5"/>
  <c r="K87" i="5"/>
  <c r="B88" i="5"/>
  <c r="C88" i="5"/>
  <c r="D88" i="5"/>
  <c r="E88" i="5"/>
  <c r="F88" i="5"/>
  <c r="G88" i="5"/>
  <c r="H88" i="5"/>
  <c r="I88" i="5"/>
  <c r="J88" i="5"/>
  <c r="K88" i="5"/>
  <c r="B89" i="5"/>
  <c r="C89" i="5"/>
  <c r="D89" i="5"/>
  <c r="E89" i="5"/>
  <c r="F89" i="5"/>
  <c r="G89" i="5"/>
  <c r="H89" i="5"/>
  <c r="I89" i="5"/>
  <c r="J89" i="5"/>
  <c r="K89" i="5"/>
  <c r="B90" i="5"/>
  <c r="C90" i="5"/>
  <c r="D90" i="5"/>
  <c r="E90" i="5"/>
  <c r="F90" i="5"/>
  <c r="G90" i="5"/>
  <c r="H90" i="5"/>
  <c r="I90" i="5"/>
  <c r="J90" i="5"/>
  <c r="K90" i="5"/>
  <c r="B91" i="5"/>
  <c r="C91" i="5"/>
  <c r="D91" i="5"/>
  <c r="E91" i="5"/>
  <c r="F91" i="5"/>
  <c r="G91" i="5"/>
  <c r="H91" i="5"/>
  <c r="I91" i="5"/>
  <c r="J91" i="5"/>
  <c r="K91" i="5"/>
  <c r="B92" i="5"/>
  <c r="C92" i="5"/>
  <c r="D92" i="5"/>
  <c r="E92" i="5"/>
  <c r="F92" i="5"/>
  <c r="G92" i="5"/>
  <c r="H92" i="5"/>
  <c r="I92" i="5"/>
  <c r="J92" i="5"/>
  <c r="K92" i="5"/>
  <c r="B93" i="5"/>
  <c r="C93" i="5"/>
  <c r="D93" i="5"/>
  <c r="E93" i="5"/>
  <c r="F93" i="5"/>
  <c r="G93" i="5"/>
  <c r="H93" i="5"/>
  <c r="I93" i="5"/>
  <c r="J93" i="5"/>
  <c r="K93" i="5"/>
  <c r="B94" i="5"/>
  <c r="C94" i="5"/>
  <c r="D94" i="5"/>
  <c r="E94" i="5"/>
  <c r="F94" i="5"/>
  <c r="G94" i="5"/>
  <c r="H94" i="5"/>
  <c r="I94" i="5"/>
  <c r="J94" i="5"/>
  <c r="K94" i="5"/>
  <c r="B95" i="5"/>
  <c r="C95" i="5"/>
  <c r="D95" i="5"/>
  <c r="E95" i="5"/>
  <c r="F95" i="5"/>
  <c r="G95" i="5"/>
  <c r="H95" i="5"/>
  <c r="I95" i="5"/>
  <c r="J95" i="5"/>
  <c r="K95" i="5"/>
  <c r="B96" i="5"/>
  <c r="C96" i="5"/>
  <c r="D96" i="5"/>
  <c r="E96" i="5"/>
  <c r="F96" i="5"/>
  <c r="G96" i="5"/>
  <c r="H96" i="5"/>
  <c r="I96" i="5"/>
  <c r="J96" i="5"/>
  <c r="K96" i="5"/>
  <c r="B97" i="5"/>
  <c r="C97" i="5"/>
  <c r="D97" i="5"/>
  <c r="E97" i="5"/>
  <c r="F97" i="5"/>
  <c r="G97" i="5"/>
  <c r="H97" i="5"/>
  <c r="I97" i="5"/>
  <c r="J97" i="5"/>
  <c r="K97" i="5"/>
  <c r="B98" i="5"/>
  <c r="C98" i="5"/>
  <c r="D98" i="5"/>
  <c r="E98" i="5"/>
  <c r="F98" i="5"/>
  <c r="G98" i="5"/>
  <c r="H98" i="5"/>
  <c r="I98" i="5"/>
  <c r="J98" i="5"/>
  <c r="K98" i="5"/>
  <c r="B99" i="5"/>
  <c r="C99" i="5"/>
  <c r="D99" i="5"/>
  <c r="E99" i="5"/>
  <c r="F99" i="5"/>
  <c r="G99" i="5"/>
  <c r="H99" i="5"/>
  <c r="I99" i="5"/>
  <c r="J99" i="5"/>
  <c r="K99" i="5"/>
  <c r="B100" i="5"/>
  <c r="C100" i="5"/>
  <c r="D100" i="5"/>
  <c r="E100" i="5"/>
  <c r="F100" i="5"/>
  <c r="G100" i="5"/>
  <c r="H100" i="5"/>
  <c r="I100" i="5"/>
  <c r="J100" i="5"/>
  <c r="K100" i="5"/>
  <c r="B101" i="5"/>
  <c r="C101" i="5"/>
  <c r="D101" i="5"/>
  <c r="E101" i="5"/>
  <c r="F101" i="5"/>
  <c r="G101" i="5"/>
  <c r="H101" i="5"/>
  <c r="I101" i="5"/>
  <c r="J101" i="5"/>
  <c r="K101" i="5"/>
  <c r="B102" i="5"/>
  <c r="C102" i="5"/>
  <c r="D102" i="5"/>
  <c r="E102" i="5"/>
  <c r="F102" i="5"/>
  <c r="G102" i="5"/>
  <c r="H102" i="5"/>
  <c r="I102" i="5"/>
  <c r="J102" i="5"/>
  <c r="K102" i="5"/>
  <c r="B103" i="5"/>
  <c r="C103" i="5"/>
  <c r="D103" i="5"/>
  <c r="E103" i="5"/>
  <c r="F103" i="5"/>
  <c r="G103" i="5"/>
  <c r="H103" i="5"/>
  <c r="I103" i="5"/>
  <c r="J103" i="5"/>
  <c r="K103" i="5"/>
  <c r="B104" i="5"/>
  <c r="C104" i="5"/>
  <c r="D104" i="5"/>
  <c r="E104" i="5"/>
  <c r="F104" i="5"/>
  <c r="G104" i="5"/>
  <c r="H104" i="5"/>
  <c r="I104" i="5"/>
  <c r="J104" i="5"/>
  <c r="K104" i="5"/>
  <c r="B105" i="5"/>
  <c r="C105" i="5"/>
  <c r="D105" i="5"/>
  <c r="E105" i="5"/>
  <c r="F105" i="5"/>
  <c r="G105" i="5"/>
  <c r="H105" i="5"/>
  <c r="I105" i="5"/>
  <c r="J105" i="5"/>
  <c r="K105" i="5"/>
  <c r="B106" i="5"/>
  <c r="C106" i="5"/>
  <c r="D106" i="5"/>
  <c r="E106" i="5"/>
  <c r="F106" i="5"/>
  <c r="G106" i="5"/>
  <c r="H106" i="5"/>
  <c r="I106" i="5"/>
  <c r="J106" i="5"/>
  <c r="K106" i="5"/>
  <c r="B107" i="5"/>
  <c r="C107" i="5"/>
  <c r="D107" i="5"/>
  <c r="E107" i="5"/>
  <c r="F107" i="5"/>
  <c r="G107" i="5"/>
  <c r="H107" i="5"/>
  <c r="I107" i="5"/>
  <c r="J107" i="5"/>
  <c r="K107" i="5"/>
  <c r="B108" i="5"/>
  <c r="C108" i="5"/>
  <c r="D108" i="5"/>
  <c r="E108" i="5"/>
  <c r="F108" i="5"/>
  <c r="G108" i="5"/>
  <c r="H108" i="5"/>
  <c r="I108" i="5"/>
  <c r="J108" i="5"/>
  <c r="K108" i="5"/>
  <c r="B109" i="5"/>
  <c r="C109" i="5"/>
  <c r="D109" i="5"/>
  <c r="E109" i="5"/>
  <c r="F109" i="5"/>
  <c r="G109" i="5"/>
  <c r="H109" i="5"/>
  <c r="I109" i="5"/>
  <c r="J109" i="5"/>
  <c r="K109" i="5"/>
  <c r="B110" i="5"/>
  <c r="C110" i="5"/>
  <c r="D110" i="5"/>
  <c r="E110" i="5"/>
  <c r="F110" i="5"/>
  <c r="G110" i="5"/>
  <c r="H110" i="5"/>
  <c r="I110" i="5"/>
  <c r="J110" i="5"/>
  <c r="K110" i="5"/>
  <c r="B111" i="5"/>
  <c r="C111" i="5"/>
  <c r="D111" i="5"/>
  <c r="E111" i="5"/>
  <c r="F111" i="5"/>
  <c r="G111" i="5"/>
  <c r="H111" i="5"/>
  <c r="I111" i="5"/>
  <c r="J111" i="5"/>
  <c r="K111" i="5"/>
  <c r="B112" i="5"/>
  <c r="C112" i="5"/>
  <c r="D112" i="5"/>
  <c r="E112" i="5"/>
  <c r="F112" i="5"/>
  <c r="G112" i="5"/>
  <c r="H112" i="5"/>
  <c r="I112" i="5"/>
  <c r="J112" i="5"/>
  <c r="K112" i="5"/>
  <c r="B113" i="5"/>
  <c r="C113" i="5"/>
  <c r="D113" i="5"/>
  <c r="E113" i="5"/>
  <c r="F113" i="5"/>
  <c r="G113" i="5"/>
  <c r="H113" i="5"/>
  <c r="I113" i="5"/>
  <c r="J113" i="5"/>
  <c r="K113" i="5"/>
  <c r="B114" i="5"/>
  <c r="C114" i="5"/>
  <c r="D114" i="5"/>
  <c r="E114" i="5"/>
  <c r="F114" i="5"/>
  <c r="G114" i="5"/>
  <c r="H114" i="5"/>
  <c r="I114" i="5"/>
  <c r="J114" i="5"/>
  <c r="K114" i="5"/>
  <c r="B115" i="5"/>
  <c r="C115" i="5"/>
  <c r="D115" i="5"/>
  <c r="E115" i="5"/>
  <c r="F115" i="5"/>
  <c r="G115" i="5"/>
  <c r="H115" i="5"/>
  <c r="I115" i="5"/>
  <c r="J115" i="5"/>
  <c r="K115" i="5"/>
  <c r="B116" i="5"/>
  <c r="C116" i="5"/>
  <c r="D116" i="5"/>
  <c r="E116" i="5"/>
  <c r="F116" i="5"/>
  <c r="G116" i="5"/>
  <c r="H116" i="5"/>
  <c r="I116" i="5"/>
  <c r="J116" i="5"/>
  <c r="K116" i="5"/>
  <c r="B117" i="5"/>
  <c r="C117" i="5"/>
  <c r="D117" i="5"/>
  <c r="E117" i="5"/>
  <c r="F117" i="5"/>
  <c r="G117" i="5"/>
  <c r="H117" i="5"/>
  <c r="I117" i="5"/>
  <c r="J117" i="5"/>
  <c r="K117" i="5"/>
  <c r="B118" i="5"/>
  <c r="C118" i="5"/>
  <c r="D118" i="5"/>
  <c r="E118" i="5"/>
  <c r="F118" i="5"/>
  <c r="G118" i="5"/>
  <c r="H118" i="5"/>
  <c r="I118" i="5"/>
  <c r="J118" i="5"/>
  <c r="K118" i="5"/>
  <c r="B119" i="5"/>
  <c r="C119" i="5"/>
  <c r="D119" i="5"/>
  <c r="E119" i="5"/>
  <c r="F119" i="5"/>
  <c r="G119" i="5"/>
  <c r="H119" i="5"/>
  <c r="I119" i="5"/>
  <c r="J119" i="5"/>
  <c r="K119" i="5"/>
  <c r="B120" i="5"/>
  <c r="C120" i="5"/>
  <c r="D120" i="5"/>
  <c r="E120" i="5"/>
  <c r="F120" i="5"/>
  <c r="G120" i="5"/>
  <c r="H120" i="5"/>
  <c r="I120" i="5"/>
  <c r="J120" i="5"/>
  <c r="K120" i="5"/>
  <c r="B121" i="5"/>
  <c r="C121" i="5"/>
  <c r="D121" i="5"/>
  <c r="E121" i="5"/>
  <c r="F121" i="5"/>
  <c r="G121" i="5"/>
  <c r="H121" i="5"/>
  <c r="I121" i="5"/>
  <c r="J121" i="5"/>
  <c r="K121" i="5"/>
  <c r="B122" i="5"/>
  <c r="C122" i="5"/>
  <c r="D122" i="5"/>
  <c r="E122" i="5"/>
  <c r="F122" i="5"/>
  <c r="G122" i="5"/>
  <c r="H122" i="5"/>
  <c r="I122" i="5"/>
  <c r="J122" i="5"/>
  <c r="K122" i="5"/>
  <c r="B123" i="5"/>
  <c r="C123" i="5"/>
  <c r="D123" i="5"/>
  <c r="E123" i="5"/>
  <c r="F123" i="5"/>
  <c r="G123" i="5"/>
  <c r="H123" i="5"/>
  <c r="I123" i="5"/>
  <c r="J123" i="5"/>
  <c r="K123" i="5"/>
  <c r="B124" i="5"/>
  <c r="C124" i="5"/>
  <c r="D124" i="5"/>
  <c r="E124" i="5"/>
  <c r="F124" i="5"/>
  <c r="G124" i="5"/>
  <c r="H124" i="5"/>
  <c r="I124" i="5"/>
  <c r="J124" i="5"/>
  <c r="K124" i="5"/>
  <c r="B125" i="5"/>
  <c r="C125" i="5"/>
  <c r="D125" i="5"/>
  <c r="E125" i="5"/>
  <c r="F125" i="5"/>
  <c r="G125" i="5"/>
  <c r="H125" i="5"/>
  <c r="I125" i="5"/>
  <c r="J125" i="5"/>
  <c r="K125" i="5"/>
  <c r="B126" i="5"/>
  <c r="C126" i="5"/>
  <c r="D126" i="5"/>
  <c r="E126" i="5"/>
  <c r="F126" i="5"/>
  <c r="G126" i="5"/>
  <c r="H126" i="5"/>
  <c r="I126" i="5"/>
  <c r="J126" i="5"/>
  <c r="K126" i="5"/>
  <c r="B127" i="5"/>
  <c r="C127" i="5"/>
  <c r="D127" i="5"/>
  <c r="E127" i="5"/>
  <c r="F127" i="5"/>
  <c r="G127" i="5"/>
  <c r="H127" i="5"/>
  <c r="I127" i="5"/>
  <c r="J127" i="5"/>
  <c r="K127" i="5"/>
  <c r="B128" i="5"/>
  <c r="C128" i="5"/>
  <c r="D128" i="5"/>
  <c r="E128" i="5"/>
  <c r="F128" i="5"/>
  <c r="G128" i="5"/>
  <c r="H128" i="5"/>
  <c r="I128" i="5"/>
  <c r="J128" i="5"/>
  <c r="K128" i="5"/>
  <c r="B129" i="5"/>
  <c r="C129" i="5"/>
  <c r="D129" i="5"/>
  <c r="E129" i="5"/>
  <c r="F129" i="5"/>
  <c r="G129" i="5"/>
  <c r="H129" i="5"/>
  <c r="I129" i="5"/>
  <c r="J129" i="5"/>
  <c r="K129" i="5"/>
  <c r="B130" i="5"/>
  <c r="C130" i="5"/>
  <c r="D130" i="5"/>
  <c r="E130" i="5"/>
  <c r="F130" i="5"/>
  <c r="G130" i="5"/>
  <c r="H130" i="5"/>
  <c r="I130" i="5"/>
  <c r="J130" i="5"/>
  <c r="K130" i="5"/>
  <c r="B131" i="5"/>
  <c r="C131" i="5"/>
  <c r="D131" i="5"/>
  <c r="E131" i="5"/>
  <c r="F131" i="5"/>
  <c r="G131" i="5"/>
  <c r="H131" i="5"/>
  <c r="I131" i="5"/>
  <c r="J131" i="5"/>
  <c r="K131" i="5"/>
  <c r="B132" i="5"/>
  <c r="C132" i="5"/>
  <c r="D132" i="5"/>
  <c r="E132" i="5"/>
  <c r="F132" i="5"/>
  <c r="G132" i="5"/>
  <c r="H132" i="5"/>
  <c r="I132" i="5"/>
  <c r="J132" i="5"/>
  <c r="K132" i="5"/>
  <c r="B133" i="5"/>
  <c r="C133" i="5"/>
  <c r="D133" i="5"/>
  <c r="E133" i="5"/>
  <c r="F133" i="5"/>
  <c r="G133" i="5"/>
  <c r="H133" i="5"/>
  <c r="I133" i="5"/>
  <c r="J133" i="5"/>
  <c r="K133" i="5"/>
  <c r="B134" i="5"/>
  <c r="C134" i="5"/>
  <c r="D134" i="5"/>
  <c r="E134" i="5"/>
  <c r="F134" i="5"/>
  <c r="G134" i="5"/>
  <c r="H134" i="5"/>
  <c r="I134" i="5"/>
  <c r="J134" i="5"/>
  <c r="K134" i="5"/>
  <c r="B135" i="5"/>
  <c r="C135" i="5"/>
  <c r="D135" i="5"/>
  <c r="E135" i="5"/>
  <c r="F135" i="5"/>
  <c r="G135" i="5"/>
  <c r="H135" i="5"/>
  <c r="I135" i="5"/>
  <c r="J135" i="5"/>
  <c r="K135" i="5"/>
  <c r="B136" i="5"/>
  <c r="C136" i="5"/>
  <c r="D136" i="5"/>
  <c r="E136" i="5"/>
  <c r="F136" i="5"/>
  <c r="G136" i="5"/>
  <c r="H136" i="5"/>
  <c r="I136" i="5"/>
  <c r="J136" i="5"/>
  <c r="K136" i="5"/>
  <c r="B137" i="5"/>
  <c r="C137" i="5"/>
  <c r="D137" i="5"/>
  <c r="E137" i="5"/>
  <c r="F137" i="5"/>
  <c r="G137" i="5"/>
  <c r="H137" i="5"/>
  <c r="I137" i="5"/>
  <c r="J137" i="5"/>
  <c r="K137" i="5"/>
  <c r="B138" i="5"/>
  <c r="C138" i="5"/>
  <c r="D138" i="5"/>
  <c r="E138" i="5"/>
  <c r="F138" i="5"/>
  <c r="G138" i="5"/>
  <c r="H138" i="5"/>
  <c r="I138" i="5"/>
  <c r="J138" i="5"/>
  <c r="K138" i="5"/>
  <c r="B139" i="5"/>
  <c r="C139" i="5"/>
  <c r="D139" i="5"/>
  <c r="E139" i="5"/>
  <c r="F139" i="5"/>
  <c r="G139" i="5"/>
  <c r="H139" i="5"/>
  <c r="I139" i="5"/>
  <c r="J139" i="5"/>
  <c r="K139" i="5"/>
  <c r="B140" i="5"/>
  <c r="C140" i="5"/>
  <c r="D140" i="5"/>
  <c r="E140" i="5"/>
  <c r="F140" i="5"/>
  <c r="G140" i="5"/>
  <c r="H140" i="5"/>
  <c r="I140" i="5"/>
  <c r="J140" i="5"/>
  <c r="K140" i="5"/>
  <c r="B141" i="5"/>
  <c r="C141" i="5"/>
  <c r="D141" i="5"/>
  <c r="E141" i="5"/>
  <c r="F141" i="5"/>
  <c r="G141" i="5"/>
  <c r="H141" i="5"/>
  <c r="I141" i="5"/>
  <c r="J141" i="5"/>
  <c r="K141" i="5"/>
  <c r="B142" i="5"/>
  <c r="C142" i="5"/>
  <c r="D142" i="5"/>
  <c r="E142" i="5"/>
  <c r="F142" i="5"/>
  <c r="G142" i="5"/>
  <c r="H142" i="5"/>
  <c r="I142" i="5"/>
  <c r="J142" i="5"/>
  <c r="K142" i="5"/>
  <c r="B143" i="5"/>
  <c r="C143" i="5"/>
  <c r="D143" i="5"/>
  <c r="E143" i="5"/>
  <c r="F143" i="5"/>
  <c r="G143" i="5"/>
  <c r="H143" i="5"/>
  <c r="I143" i="5"/>
  <c r="J143" i="5"/>
  <c r="K143" i="5"/>
  <c r="B144" i="5"/>
  <c r="C144" i="5"/>
  <c r="D144" i="5"/>
  <c r="E144" i="5"/>
  <c r="F144" i="5"/>
  <c r="G144" i="5"/>
  <c r="H144" i="5"/>
  <c r="I144" i="5"/>
  <c r="J144" i="5"/>
  <c r="K144" i="5"/>
  <c r="B145" i="5"/>
  <c r="C145" i="5"/>
  <c r="D145" i="5"/>
  <c r="E145" i="5"/>
  <c r="F145" i="5"/>
  <c r="G145" i="5"/>
  <c r="H145" i="5"/>
  <c r="I145" i="5"/>
  <c r="J145" i="5"/>
  <c r="K145" i="5"/>
  <c r="B146" i="5"/>
  <c r="C146" i="5"/>
  <c r="D146" i="5"/>
  <c r="E146" i="5"/>
  <c r="F146" i="5"/>
  <c r="G146" i="5"/>
  <c r="H146" i="5"/>
  <c r="I146" i="5"/>
  <c r="J146" i="5"/>
  <c r="K146" i="5"/>
  <c r="B147" i="5"/>
  <c r="C147" i="5"/>
  <c r="D147" i="5"/>
  <c r="E147" i="5"/>
  <c r="F147" i="5"/>
  <c r="G147" i="5"/>
  <c r="H147" i="5"/>
  <c r="I147" i="5"/>
  <c r="J147" i="5"/>
  <c r="K147" i="5"/>
  <c r="B148" i="5"/>
  <c r="C148" i="5"/>
  <c r="D148" i="5"/>
  <c r="E148" i="5"/>
  <c r="F148" i="5"/>
  <c r="G148" i="5"/>
  <c r="H148" i="5"/>
  <c r="I148" i="5"/>
  <c r="J148" i="5"/>
  <c r="K148" i="5"/>
  <c r="B149" i="5"/>
  <c r="C149" i="5"/>
  <c r="D149" i="5"/>
  <c r="E149" i="5"/>
  <c r="F149" i="5"/>
  <c r="G149" i="5"/>
  <c r="H149" i="5"/>
  <c r="I149" i="5"/>
  <c r="J149" i="5"/>
  <c r="K149" i="5"/>
  <c r="B150" i="5"/>
  <c r="C150" i="5"/>
  <c r="D150" i="5"/>
  <c r="E150" i="5"/>
  <c r="F150" i="5"/>
  <c r="G150" i="5"/>
  <c r="H150" i="5"/>
  <c r="I150" i="5"/>
  <c r="J150" i="5"/>
  <c r="K150" i="5"/>
  <c r="B151" i="5"/>
  <c r="C151" i="5"/>
  <c r="D151" i="5"/>
  <c r="E151" i="5"/>
  <c r="F151" i="5"/>
  <c r="G151" i="5"/>
  <c r="H151" i="5"/>
  <c r="I151" i="5"/>
  <c r="J151" i="5"/>
  <c r="K151" i="5"/>
  <c r="B152" i="5"/>
  <c r="C152" i="5"/>
  <c r="D152" i="5"/>
  <c r="E152" i="5"/>
  <c r="F152" i="5"/>
  <c r="G152" i="5"/>
  <c r="H152" i="5"/>
  <c r="I152" i="5"/>
  <c r="J152" i="5"/>
  <c r="K152" i="5"/>
  <c r="B153" i="5"/>
  <c r="C153" i="5"/>
  <c r="D153" i="5"/>
  <c r="E153" i="5"/>
  <c r="F153" i="5"/>
  <c r="G153" i="5"/>
  <c r="H153" i="5"/>
  <c r="I153" i="5"/>
  <c r="J153" i="5"/>
  <c r="K153" i="5"/>
  <c r="B154" i="5"/>
  <c r="C154" i="5"/>
  <c r="D154" i="5"/>
  <c r="E154" i="5"/>
  <c r="F154" i="5"/>
  <c r="G154" i="5"/>
  <c r="H154" i="5"/>
  <c r="I154" i="5"/>
  <c r="J154" i="5"/>
  <c r="K154" i="5"/>
  <c r="B155" i="5"/>
  <c r="C155" i="5"/>
  <c r="D155" i="5"/>
  <c r="E155" i="5"/>
  <c r="F155" i="5"/>
  <c r="G155" i="5"/>
  <c r="H155" i="5"/>
  <c r="I155" i="5"/>
  <c r="J155" i="5"/>
  <c r="K155" i="5"/>
  <c r="B156" i="5"/>
  <c r="C156" i="5"/>
  <c r="D156" i="5"/>
  <c r="E156" i="5"/>
  <c r="F156" i="5"/>
  <c r="G156" i="5"/>
  <c r="H156" i="5"/>
  <c r="I156" i="5"/>
  <c r="J156" i="5"/>
  <c r="K156" i="5"/>
  <c r="B157" i="5"/>
  <c r="C157" i="5"/>
  <c r="D157" i="5"/>
  <c r="E157" i="5"/>
  <c r="F157" i="5"/>
  <c r="G157" i="5"/>
  <c r="H157" i="5"/>
  <c r="I157" i="5"/>
  <c r="J157" i="5"/>
  <c r="K157" i="5"/>
  <c r="B158" i="5"/>
  <c r="C158" i="5"/>
  <c r="D158" i="5"/>
  <c r="E158" i="5"/>
  <c r="F158" i="5"/>
  <c r="G158" i="5"/>
  <c r="H158" i="5"/>
  <c r="I158" i="5"/>
  <c r="J158" i="5"/>
  <c r="K158" i="5"/>
  <c r="B159" i="5"/>
  <c r="C159" i="5"/>
  <c r="D159" i="5"/>
  <c r="E159" i="5"/>
  <c r="F159" i="5"/>
  <c r="G159" i="5"/>
  <c r="H159" i="5"/>
  <c r="I159" i="5"/>
  <c r="J159" i="5"/>
  <c r="K159" i="5"/>
  <c r="B160" i="5"/>
  <c r="C160" i="5"/>
  <c r="D160" i="5"/>
  <c r="E160" i="5"/>
  <c r="F160" i="5"/>
  <c r="G160" i="5"/>
  <c r="H160" i="5"/>
  <c r="I160" i="5"/>
  <c r="J160" i="5"/>
  <c r="K160" i="5"/>
  <c r="B161" i="5"/>
  <c r="C161" i="5"/>
  <c r="D161" i="5"/>
  <c r="E161" i="5"/>
  <c r="F161" i="5"/>
  <c r="G161" i="5"/>
  <c r="H161" i="5"/>
  <c r="I161" i="5"/>
  <c r="J161" i="5"/>
  <c r="K161" i="5"/>
  <c r="B162" i="5"/>
  <c r="C162" i="5"/>
  <c r="D162" i="5"/>
  <c r="E162" i="5"/>
  <c r="F162" i="5"/>
  <c r="G162" i="5"/>
  <c r="H162" i="5"/>
  <c r="I162" i="5"/>
  <c r="J162" i="5"/>
  <c r="K162" i="5"/>
  <c r="B163" i="5"/>
  <c r="C163" i="5"/>
  <c r="D163" i="5"/>
  <c r="E163" i="5"/>
  <c r="F163" i="5"/>
  <c r="G163" i="5"/>
  <c r="H163" i="5"/>
  <c r="I163" i="5"/>
  <c r="J163" i="5"/>
  <c r="K163" i="5"/>
  <c r="B164" i="5"/>
  <c r="C164" i="5"/>
  <c r="D164" i="5"/>
  <c r="E164" i="5"/>
  <c r="F164" i="5"/>
  <c r="G164" i="5"/>
  <c r="H164" i="5"/>
  <c r="I164" i="5"/>
  <c r="J164" i="5"/>
  <c r="K164" i="5"/>
  <c r="B165" i="5"/>
  <c r="C165" i="5"/>
  <c r="D165" i="5"/>
  <c r="E165" i="5"/>
  <c r="F165" i="5"/>
  <c r="G165" i="5"/>
  <c r="H165" i="5"/>
  <c r="I165" i="5"/>
  <c r="J165" i="5"/>
  <c r="K165" i="5"/>
  <c r="B166" i="5"/>
  <c r="C166" i="5"/>
  <c r="D166" i="5"/>
  <c r="E166" i="5"/>
  <c r="F166" i="5"/>
  <c r="G166" i="5"/>
  <c r="H166" i="5"/>
  <c r="I166" i="5"/>
  <c r="J166" i="5"/>
  <c r="K166" i="5"/>
  <c r="B167" i="5"/>
  <c r="C167" i="5"/>
  <c r="D167" i="5"/>
  <c r="E167" i="5"/>
  <c r="F167" i="5"/>
  <c r="G167" i="5"/>
  <c r="H167" i="5"/>
  <c r="I167" i="5"/>
  <c r="J167" i="5"/>
  <c r="K167" i="5"/>
  <c r="B168" i="5"/>
  <c r="C168" i="5"/>
  <c r="D168" i="5"/>
  <c r="E168" i="5"/>
  <c r="F168" i="5"/>
  <c r="G168" i="5"/>
  <c r="H168" i="5"/>
  <c r="I168" i="5"/>
  <c r="J168" i="5"/>
  <c r="K168" i="5"/>
  <c r="B169" i="5"/>
  <c r="C169" i="5"/>
  <c r="D169" i="5"/>
  <c r="E169" i="5"/>
  <c r="F169" i="5"/>
  <c r="G169" i="5"/>
  <c r="H169" i="5"/>
  <c r="I169" i="5"/>
  <c r="J169" i="5"/>
  <c r="K169" i="5"/>
  <c r="B170" i="5"/>
  <c r="C170" i="5"/>
  <c r="D170" i="5"/>
  <c r="E170" i="5"/>
  <c r="F170" i="5"/>
  <c r="G170" i="5"/>
  <c r="H170" i="5"/>
  <c r="I170" i="5"/>
  <c r="J170" i="5"/>
  <c r="K170" i="5"/>
  <c r="B171" i="5"/>
  <c r="C171" i="5"/>
  <c r="D171" i="5"/>
  <c r="E171" i="5"/>
  <c r="F171" i="5"/>
  <c r="G171" i="5"/>
  <c r="H171" i="5"/>
  <c r="I171" i="5"/>
  <c r="J171" i="5"/>
  <c r="K171" i="5"/>
  <c r="B172" i="5"/>
  <c r="C172" i="5"/>
  <c r="D172" i="5"/>
  <c r="E172" i="5"/>
  <c r="F172" i="5"/>
  <c r="G172" i="5"/>
  <c r="H172" i="5"/>
  <c r="I172" i="5"/>
  <c r="J172" i="5"/>
  <c r="K172" i="5"/>
  <c r="B173" i="5"/>
  <c r="C173" i="5"/>
  <c r="D173" i="5"/>
  <c r="E173" i="5"/>
  <c r="F173" i="5"/>
  <c r="G173" i="5"/>
  <c r="H173" i="5"/>
  <c r="I173" i="5"/>
  <c r="J173" i="5"/>
  <c r="K173" i="5"/>
  <c r="B174" i="5"/>
  <c r="C174" i="5"/>
  <c r="D174" i="5"/>
  <c r="E174" i="5"/>
  <c r="F174" i="5"/>
  <c r="G174" i="5"/>
  <c r="H174" i="5"/>
  <c r="I174" i="5"/>
  <c r="J174" i="5"/>
  <c r="K174" i="5"/>
  <c r="B175" i="5"/>
  <c r="C175" i="5"/>
  <c r="D175" i="5"/>
  <c r="E175" i="5"/>
  <c r="F175" i="5"/>
  <c r="G175" i="5"/>
  <c r="H175" i="5"/>
  <c r="I175" i="5"/>
  <c r="J175" i="5"/>
  <c r="K175" i="5"/>
  <c r="B176" i="5"/>
  <c r="C176" i="5"/>
  <c r="D176" i="5"/>
  <c r="E176" i="5"/>
  <c r="F176" i="5"/>
  <c r="G176" i="5"/>
  <c r="H176" i="5"/>
  <c r="I176" i="5"/>
  <c r="J176" i="5"/>
  <c r="K176" i="5"/>
  <c r="B177" i="5"/>
  <c r="C177" i="5"/>
  <c r="D177" i="5"/>
  <c r="E177" i="5"/>
  <c r="F177" i="5"/>
  <c r="G177" i="5"/>
  <c r="H177" i="5"/>
  <c r="I177" i="5"/>
  <c r="J177" i="5"/>
  <c r="K177" i="5"/>
  <c r="B178" i="5"/>
  <c r="C178" i="5"/>
  <c r="D178" i="5"/>
  <c r="E178" i="5"/>
  <c r="F178" i="5"/>
  <c r="G178" i="5"/>
  <c r="H178" i="5"/>
  <c r="I178" i="5"/>
  <c r="J178" i="5"/>
  <c r="K178" i="5"/>
  <c r="B179" i="5"/>
  <c r="C179" i="5"/>
  <c r="D179" i="5"/>
  <c r="E179" i="5"/>
  <c r="F179" i="5"/>
  <c r="G179" i="5"/>
  <c r="H179" i="5"/>
  <c r="I179" i="5"/>
  <c r="J179" i="5"/>
  <c r="K179" i="5"/>
  <c r="B180" i="5"/>
  <c r="C180" i="5"/>
  <c r="D180" i="5"/>
  <c r="E180" i="5"/>
  <c r="F180" i="5"/>
  <c r="G180" i="5"/>
  <c r="H180" i="5"/>
  <c r="I180" i="5"/>
  <c r="J180" i="5"/>
  <c r="K180" i="5"/>
  <c r="B181" i="5"/>
  <c r="C181" i="5"/>
  <c r="D181" i="5"/>
  <c r="E181" i="5"/>
  <c r="F181" i="5"/>
  <c r="G181" i="5"/>
  <c r="H181" i="5"/>
  <c r="I181" i="5"/>
  <c r="J181" i="5"/>
  <c r="K181" i="5"/>
  <c r="B182" i="5"/>
  <c r="C182" i="5"/>
  <c r="D182" i="5"/>
  <c r="E182" i="5"/>
  <c r="F182" i="5"/>
  <c r="G182" i="5"/>
  <c r="H182" i="5"/>
  <c r="I182" i="5"/>
  <c r="J182" i="5"/>
  <c r="K182" i="5"/>
  <c r="B183" i="5"/>
  <c r="C183" i="5"/>
  <c r="D183" i="5"/>
  <c r="E183" i="5"/>
  <c r="F183" i="5"/>
  <c r="G183" i="5"/>
  <c r="H183" i="5"/>
  <c r="I183" i="5"/>
  <c r="J183" i="5"/>
  <c r="K183" i="5"/>
  <c r="B184" i="5"/>
  <c r="C184" i="5"/>
  <c r="D184" i="5"/>
  <c r="E184" i="5"/>
  <c r="F184" i="5"/>
  <c r="G184" i="5"/>
  <c r="H184" i="5"/>
  <c r="I184" i="5"/>
  <c r="J184" i="5"/>
  <c r="K184" i="5"/>
  <c r="B185" i="5"/>
  <c r="C185" i="5"/>
  <c r="D185" i="5"/>
  <c r="E185" i="5"/>
  <c r="F185" i="5"/>
  <c r="G185" i="5"/>
  <c r="H185" i="5"/>
  <c r="I185" i="5"/>
  <c r="J185" i="5"/>
  <c r="K185" i="5"/>
  <c r="B186" i="5"/>
  <c r="C186" i="5"/>
  <c r="D186" i="5"/>
  <c r="E186" i="5"/>
  <c r="F186" i="5"/>
  <c r="G186" i="5"/>
  <c r="H186" i="5"/>
  <c r="I186" i="5"/>
  <c r="J186" i="5"/>
  <c r="K186" i="5"/>
  <c r="B187" i="5"/>
  <c r="C187" i="5"/>
  <c r="D187" i="5"/>
  <c r="E187" i="5"/>
  <c r="F187" i="5"/>
  <c r="G187" i="5"/>
  <c r="H187" i="5"/>
  <c r="I187" i="5"/>
  <c r="J187" i="5"/>
  <c r="K187" i="5"/>
  <c r="B188" i="5"/>
  <c r="C188" i="5"/>
  <c r="D188" i="5"/>
  <c r="E188" i="5"/>
  <c r="F188" i="5"/>
  <c r="G188" i="5"/>
  <c r="H188" i="5"/>
  <c r="I188" i="5"/>
  <c r="J188" i="5"/>
  <c r="K188" i="5"/>
  <c r="B189" i="5"/>
  <c r="C189" i="5"/>
  <c r="D189" i="5"/>
  <c r="E189" i="5"/>
  <c r="F189" i="5"/>
  <c r="G189" i="5"/>
  <c r="H189" i="5"/>
  <c r="I189" i="5"/>
  <c r="J189" i="5"/>
  <c r="K189" i="5"/>
  <c r="B190" i="5"/>
  <c r="C190" i="5"/>
  <c r="D190" i="5"/>
  <c r="E190" i="5"/>
  <c r="F190" i="5"/>
  <c r="G190" i="5"/>
  <c r="H190" i="5"/>
  <c r="I190" i="5"/>
  <c r="J190" i="5"/>
  <c r="K190" i="5"/>
  <c r="B191" i="5"/>
  <c r="C191" i="5"/>
  <c r="D191" i="5"/>
  <c r="E191" i="5"/>
  <c r="F191" i="5"/>
  <c r="G191" i="5"/>
  <c r="H191" i="5"/>
  <c r="I191" i="5"/>
  <c r="J191" i="5"/>
  <c r="K191" i="5"/>
  <c r="B192" i="5"/>
  <c r="C192" i="5"/>
  <c r="D192" i="5"/>
  <c r="E192" i="5"/>
  <c r="F192" i="5"/>
  <c r="G192" i="5"/>
  <c r="H192" i="5"/>
  <c r="I192" i="5"/>
  <c r="J192" i="5"/>
  <c r="K192" i="5"/>
  <c r="B193" i="5"/>
  <c r="C193" i="5"/>
  <c r="D193" i="5"/>
  <c r="E193" i="5"/>
  <c r="F193" i="5"/>
  <c r="G193" i="5"/>
  <c r="H193" i="5"/>
  <c r="I193" i="5"/>
  <c r="J193" i="5"/>
  <c r="K193" i="5"/>
  <c r="B194" i="5"/>
  <c r="C194" i="5"/>
  <c r="D194" i="5"/>
  <c r="E194" i="5"/>
  <c r="F194" i="5"/>
  <c r="G194" i="5"/>
  <c r="H194" i="5"/>
  <c r="I194" i="5"/>
  <c r="J194" i="5"/>
  <c r="K194" i="5"/>
  <c r="B195" i="5"/>
  <c r="C195" i="5"/>
  <c r="D195" i="5"/>
  <c r="E195" i="5"/>
  <c r="F195" i="5"/>
  <c r="G195" i="5"/>
  <c r="H195" i="5"/>
  <c r="I195" i="5"/>
  <c r="J195" i="5"/>
  <c r="K195" i="5"/>
  <c r="B196" i="5"/>
  <c r="C196" i="5"/>
  <c r="D196" i="5"/>
  <c r="E196" i="5"/>
  <c r="F196" i="5"/>
  <c r="G196" i="5"/>
  <c r="H196" i="5"/>
  <c r="I196" i="5"/>
  <c r="J196" i="5"/>
  <c r="K196" i="5"/>
  <c r="B197" i="5"/>
  <c r="C197" i="5"/>
  <c r="D197" i="5"/>
  <c r="E197" i="5"/>
  <c r="F197" i="5"/>
  <c r="G197" i="5"/>
  <c r="H197" i="5"/>
  <c r="I197" i="5"/>
  <c r="J197" i="5"/>
  <c r="K197" i="5"/>
  <c r="B198" i="5"/>
  <c r="C198" i="5"/>
  <c r="D198" i="5"/>
  <c r="E198" i="5"/>
  <c r="F198" i="5"/>
  <c r="G198" i="5"/>
  <c r="H198" i="5"/>
  <c r="I198" i="5"/>
  <c r="J198" i="5"/>
  <c r="K198" i="5"/>
  <c r="B199" i="5"/>
  <c r="C199" i="5"/>
  <c r="D199" i="5"/>
  <c r="E199" i="5"/>
  <c r="F199" i="5"/>
  <c r="G199" i="5"/>
  <c r="H199" i="5"/>
  <c r="I199" i="5"/>
  <c r="J199" i="5"/>
  <c r="K199" i="5"/>
  <c r="B200" i="5"/>
  <c r="C200" i="5"/>
  <c r="D200" i="5"/>
  <c r="E200" i="5"/>
  <c r="F200" i="5"/>
  <c r="G200" i="5"/>
  <c r="H200" i="5"/>
  <c r="I200" i="5"/>
  <c r="J200" i="5"/>
  <c r="K200" i="5"/>
  <c r="B201" i="5"/>
  <c r="C201" i="5"/>
  <c r="D201" i="5"/>
  <c r="E201" i="5"/>
  <c r="F201" i="5"/>
  <c r="G201" i="5"/>
  <c r="H201" i="5"/>
  <c r="I201" i="5"/>
  <c r="J201" i="5"/>
  <c r="K201" i="5"/>
  <c r="B202" i="5"/>
  <c r="C202" i="5"/>
  <c r="D202" i="5"/>
  <c r="E202" i="5"/>
  <c r="F202" i="5"/>
  <c r="G202" i="5"/>
  <c r="H202" i="5"/>
  <c r="I202" i="5"/>
  <c r="J202" i="5"/>
  <c r="K202" i="5"/>
  <c r="B203" i="5"/>
  <c r="C203" i="5"/>
  <c r="D203" i="5"/>
  <c r="E203" i="5"/>
  <c r="F203" i="5"/>
  <c r="G203" i="5"/>
  <c r="H203" i="5"/>
  <c r="I203" i="5"/>
  <c r="J203" i="5"/>
  <c r="K203" i="5"/>
  <c r="B204" i="5"/>
  <c r="C204" i="5"/>
  <c r="D204" i="5"/>
  <c r="E204" i="5"/>
  <c r="F204" i="5"/>
  <c r="G204" i="5"/>
  <c r="H204" i="5"/>
  <c r="I204" i="5"/>
  <c r="J204" i="5"/>
  <c r="K204" i="5"/>
  <c r="B205" i="5"/>
  <c r="C205" i="5"/>
  <c r="D205" i="5"/>
  <c r="E205" i="5"/>
  <c r="F205" i="5"/>
  <c r="G205" i="5"/>
  <c r="H205" i="5"/>
  <c r="I205" i="5"/>
  <c r="J205" i="5"/>
  <c r="K205" i="5"/>
  <c r="B206" i="5"/>
  <c r="C206" i="5"/>
  <c r="D206" i="5"/>
  <c r="E206" i="5"/>
  <c r="F206" i="5"/>
  <c r="G206" i="5"/>
  <c r="H206" i="5"/>
  <c r="I206" i="5"/>
  <c r="J206" i="5"/>
  <c r="K206" i="5"/>
  <c r="B207" i="5"/>
  <c r="C207" i="5"/>
  <c r="D207" i="5"/>
  <c r="E207" i="5"/>
  <c r="F207" i="5"/>
  <c r="G207" i="5"/>
  <c r="H207" i="5"/>
  <c r="I207" i="5"/>
  <c r="J207" i="5"/>
  <c r="K207" i="5"/>
  <c r="B208" i="5"/>
  <c r="C208" i="5"/>
  <c r="D208" i="5"/>
  <c r="E208" i="5"/>
  <c r="F208" i="5"/>
  <c r="G208" i="5"/>
  <c r="H208" i="5"/>
  <c r="I208" i="5"/>
  <c r="J208" i="5"/>
  <c r="K208" i="5"/>
  <c r="B209" i="5"/>
  <c r="C209" i="5"/>
  <c r="D209" i="5"/>
  <c r="E209" i="5"/>
  <c r="F209" i="5"/>
  <c r="G209" i="5"/>
  <c r="H209" i="5"/>
  <c r="I209" i="5"/>
  <c r="J209" i="5"/>
  <c r="K209" i="5"/>
  <c r="B210" i="5"/>
  <c r="C210" i="5"/>
  <c r="D210" i="5"/>
  <c r="E210" i="5"/>
  <c r="F210" i="5"/>
  <c r="G210" i="5"/>
  <c r="H210" i="5"/>
  <c r="I210" i="5"/>
  <c r="J210" i="5"/>
  <c r="K210" i="5"/>
  <c r="B211" i="5"/>
  <c r="C211" i="5"/>
  <c r="D211" i="5"/>
  <c r="E211" i="5"/>
  <c r="F211" i="5"/>
  <c r="G211" i="5"/>
  <c r="H211" i="5"/>
  <c r="I211" i="5"/>
  <c r="J211" i="5"/>
  <c r="K211" i="5"/>
  <c r="B212" i="5"/>
  <c r="C212" i="5"/>
  <c r="D212" i="5"/>
  <c r="E212" i="5"/>
  <c r="F212" i="5"/>
  <c r="G212" i="5"/>
  <c r="H212" i="5"/>
  <c r="I212" i="5"/>
  <c r="J212" i="5"/>
  <c r="K212" i="5"/>
  <c r="B213" i="5"/>
  <c r="C213" i="5"/>
  <c r="D213" i="5"/>
  <c r="E213" i="5"/>
  <c r="F213" i="5"/>
  <c r="G213" i="5"/>
  <c r="H213" i="5"/>
  <c r="I213" i="5"/>
  <c r="J213" i="5"/>
  <c r="K213" i="5"/>
  <c r="B214" i="5"/>
  <c r="C214" i="5"/>
  <c r="D214" i="5"/>
  <c r="E214" i="5"/>
  <c r="F214" i="5"/>
  <c r="G214" i="5"/>
  <c r="H214" i="5"/>
  <c r="I214" i="5"/>
  <c r="J214" i="5"/>
  <c r="K214" i="5"/>
  <c r="B215" i="5"/>
  <c r="C215" i="5"/>
  <c r="D215" i="5"/>
  <c r="E215" i="5"/>
  <c r="F215" i="5"/>
  <c r="G215" i="5"/>
  <c r="H215" i="5"/>
  <c r="I215" i="5"/>
  <c r="J215" i="5"/>
  <c r="K215" i="5"/>
  <c r="B216" i="5"/>
  <c r="C216" i="5"/>
  <c r="D216" i="5"/>
  <c r="E216" i="5"/>
  <c r="F216" i="5"/>
  <c r="G216" i="5"/>
  <c r="H216" i="5"/>
  <c r="I216" i="5"/>
  <c r="J216" i="5"/>
  <c r="K216" i="5"/>
  <c r="B217" i="5"/>
  <c r="C217" i="5"/>
  <c r="D217" i="5"/>
  <c r="E217" i="5"/>
  <c r="F217" i="5"/>
  <c r="G217" i="5"/>
  <c r="H217" i="5"/>
  <c r="I217" i="5"/>
  <c r="J217" i="5"/>
  <c r="K217" i="5"/>
  <c r="B218" i="5"/>
  <c r="C218" i="5"/>
  <c r="D218" i="5"/>
  <c r="E218" i="5"/>
  <c r="F218" i="5"/>
  <c r="G218" i="5"/>
  <c r="H218" i="5"/>
  <c r="I218" i="5"/>
  <c r="J218" i="5"/>
  <c r="K218" i="5"/>
  <c r="B219" i="5"/>
  <c r="C219" i="5"/>
  <c r="D219" i="5"/>
  <c r="E219" i="5"/>
  <c r="F219" i="5"/>
  <c r="G219" i="5"/>
  <c r="H219" i="5"/>
  <c r="I219" i="5"/>
  <c r="J219" i="5"/>
  <c r="K219" i="5"/>
  <c r="B220" i="5"/>
  <c r="C220" i="5"/>
  <c r="D220" i="5"/>
  <c r="E220" i="5"/>
  <c r="F220" i="5"/>
  <c r="G220" i="5"/>
  <c r="H220" i="5"/>
  <c r="I220" i="5"/>
  <c r="J220" i="5"/>
  <c r="K220" i="5"/>
  <c r="B221" i="5"/>
  <c r="C221" i="5"/>
  <c r="D221" i="5"/>
  <c r="E221" i="5"/>
  <c r="F221" i="5"/>
  <c r="G221" i="5"/>
  <c r="H221" i="5"/>
  <c r="I221" i="5"/>
  <c r="J221" i="5"/>
  <c r="K221" i="5"/>
  <c r="B222" i="5"/>
  <c r="C222" i="5"/>
  <c r="D222" i="5"/>
  <c r="E222" i="5"/>
  <c r="F222" i="5"/>
  <c r="G222" i="5"/>
  <c r="H222" i="5"/>
  <c r="I222" i="5"/>
  <c r="J222" i="5"/>
  <c r="K222" i="5"/>
  <c r="B223" i="5"/>
  <c r="C223" i="5"/>
  <c r="D223" i="5"/>
  <c r="E223" i="5"/>
  <c r="F223" i="5"/>
  <c r="G223" i="5"/>
  <c r="H223" i="5"/>
  <c r="I223" i="5"/>
  <c r="J223" i="5"/>
  <c r="K223" i="5"/>
  <c r="B224" i="5"/>
  <c r="C224" i="5"/>
  <c r="D224" i="5"/>
  <c r="E224" i="5"/>
  <c r="F224" i="5"/>
  <c r="G224" i="5"/>
  <c r="H224" i="5"/>
  <c r="I224" i="5"/>
  <c r="J224" i="5"/>
  <c r="K224" i="5"/>
  <c r="B225" i="5"/>
  <c r="C225" i="5"/>
  <c r="D225" i="5"/>
  <c r="E225" i="5"/>
  <c r="F225" i="5"/>
  <c r="G225" i="5"/>
  <c r="H225" i="5"/>
  <c r="I225" i="5"/>
  <c r="J225" i="5"/>
  <c r="K225" i="5"/>
  <c r="C3" i="5"/>
  <c r="D3" i="5"/>
  <c r="E3" i="5"/>
  <c r="F3" i="5"/>
  <c r="G3" i="5"/>
  <c r="H3" i="5"/>
  <c r="I3" i="5"/>
  <c r="J3" i="5"/>
  <c r="K3" i="5"/>
  <c r="B3" i="5"/>
  <c r="P6" i="4"/>
  <c r="O6" i="4"/>
  <c r="N6" i="4"/>
  <c r="L6" i="4"/>
  <c r="L4" i="4"/>
  <c r="M4" i="4"/>
  <c r="N4" i="4"/>
  <c r="O4" i="4"/>
  <c r="P4" i="4"/>
  <c r="L5" i="4"/>
  <c r="M5" i="4"/>
  <c r="N5" i="4"/>
  <c r="M6" i="4"/>
  <c r="L7" i="4"/>
  <c r="M7" i="4"/>
  <c r="L8" i="4"/>
  <c r="M8" i="4"/>
  <c r="L9" i="4"/>
  <c r="M9" i="4"/>
  <c r="N9" i="4"/>
  <c r="O9" i="4"/>
  <c r="P9" i="4"/>
  <c r="L10" i="4"/>
  <c r="M10" i="4"/>
  <c r="L11" i="4"/>
  <c r="M11" i="4"/>
  <c r="N11" i="4"/>
  <c r="O11" i="4"/>
  <c r="P11" i="4"/>
  <c r="L12" i="4"/>
  <c r="M12" i="4"/>
  <c r="N12" i="4"/>
  <c r="O12" i="4"/>
  <c r="P12" i="4"/>
  <c r="L13" i="4"/>
  <c r="M13" i="4"/>
  <c r="N13" i="4"/>
  <c r="L14" i="4"/>
  <c r="M14" i="4"/>
  <c r="N14" i="4"/>
  <c r="O14" i="4"/>
  <c r="P14" i="4"/>
  <c r="L15" i="4"/>
  <c r="M15" i="4"/>
  <c r="L16" i="4"/>
  <c r="M16" i="4"/>
  <c r="L17" i="4"/>
  <c r="M17" i="4"/>
  <c r="N17" i="4"/>
  <c r="O17" i="4"/>
  <c r="P17" i="4"/>
  <c r="L18" i="4"/>
  <c r="M18" i="4"/>
  <c r="L19" i="4"/>
  <c r="M19" i="4"/>
  <c r="N19" i="4"/>
  <c r="O19" i="4"/>
  <c r="P19" i="4"/>
  <c r="L20" i="4"/>
  <c r="M20" i="4"/>
  <c r="N20" i="4"/>
  <c r="O20" i="4"/>
  <c r="P20" i="4"/>
  <c r="L21" i="4"/>
  <c r="M21" i="4"/>
  <c r="N21" i="4"/>
  <c r="L22" i="4"/>
  <c r="M22" i="4"/>
  <c r="L23" i="4"/>
  <c r="M23" i="4"/>
  <c r="L24" i="4"/>
  <c r="M24" i="4"/>
  <c r="L25" i="4"/>
  <c r="M25" i="4"/>
  <c r="N25" i="4"/>
  <c r="O25" i="4"/>
  <c r="P25" i="4"/>
  <c r="L26" i="4"/>
  <c r="M26" i="4"/>
  <c r="L27" i="4"/>
  <c r="M27" i="4"/>
  <c r="N27" i="4"/>
  <c r="O27" i="4"/>
  <c r="P27" i="4"/>
  <c r="L28" i="4"/>
  <c r="M28" i="4"/>
  <c r="N28" i="4"/>
  <c r="O28" i="4"/>
  <c r="P28" i="4"/>
  <c r="L29" i="4"/>
  <c r="M29" i="4"/>
  <c r="N29" i="4"/>
  <c r="L30" i="4"/>
  <c r="M30" i="4"/>
  <c r="L31" i="4"/>
  <c r="M31" i="4"/>
  <c r="L32" i="4"/>
  <c r="M32" i="4"/>
  <c r="L33" i="4"/>
  <c r="M33" i="4"/>
  <c r="N33" i="4"/>
  <c r="O33" i="4"/>
  <c r="P33" i="4"/>
  <c r="L34" i="4"/>
  <c r="M34" i="4"/>
  <c r="L35" i="4"/>
  <c r="M35" i="4"/>
  <c r="N35" i="4"/>
  <c r="O35" i="4"/>
  <c r="P35" i="4"/>
  <c r="L36" i="4"/>
  <c r="M36" i="4"/>
  <c r="N36" i="4"/>
  <c r="O36" i="4"/>
  <c r="P36" i="4"/>
  <c r="L37" i="4"/>
  <c r="M37" i="4"/>
  <c r="N37" i="4"/>
  <c r="L38" i="4"/>
  <c r="M38" i="4"/>
  <c r="L39" i="4"/>
  <c r="M39" i="4"/>
  <c r="L40" i="4"/>
  <c r="M40" i="4"/>
  <c r="L41" i="4"/>
  <c r="M41" i="4"/>
  <c r="N41" i="4"/>
  <c r="O41" i="4"/>
  <c r="P41" i="4"/>
  <c r="L42" i="4"/>
  <c r="M42" i="4"/>
  <c r="L43" i="4"/>
  <c r="M43" i="4"/>
  <c r="N43" i="4"/>
  <c r="O43" i="4"/>
  <c r="P43" i="4"/>
  <c r="L44" i="4"/>
  <c r="M44" i="4"/>
  <c r="N44" i="4"/>
  <c r="O44" i="4"/>
  <c r="P44" i="4"/>
  <c r="L45" i="4"/>
  <c r="M45" i="4"/>
  <c r="N45" i="4"/>
  <c r="L46" i="4"/>
  <c r="M46" i="4"/>
  <c r="L47" i="4"/>
  <c r="M47" i="4"/>
  <c r="L48" i="4"/>
  <c r="M48" i="4"/>
  <c r="L49" i="4"/>
  <c r="M49" i="4"/>
  <c r="N49" i="4"/>
  <c r="O49" i="4"/>
  <c r="P49" i="4"/>
  <c r="L50" i="4"/>
  <c r="M50" i="4"/>
  <c r="L51" i="4"/>
  <c r="M51" i="4"/>
  <c r="N51" i="4"/>
  <c r="O51" i="4"/>
  <c r="P51" i="4"/>
  <c r="L52" i="4"/>
  <c r="M52" i="4"/>
  <c r="N52" i="4"/>
  <c r="O52" i="4"/>
  <c r="P52" i="4"/>
  <c r="L53" i="4"/>
  <c r="M53" i="4"/>
  <c r="N53" i="4"/>
  <c r="L54" i="4"/>
  <c r="M54" i="4"/>
  <c r="L55" i="4"/>
  <c r="M55" i="4"/>
  <c r="L56" i="4"/>
  <c r="M56" i="4"/>
  <c r="L57" i="4"/>
  <c r="M57" i="4"/>
  <c r="N57" i="4"/>
  <c r="O57" i="4"/>
  <c r="P57" i="4"/>
  <c r="L58" i="4"/>
  <c r="M58" i="4"/>
  <c r="L59" i="4"/>
  <c r="M59" i="4"/>
  <c r="N59" i="4"/>
  <c r="O59" i="4"/>
  <c r="P59" i="4"/>
  <c r="L60" i="4"/>
  <c r="M60" i="4"/>
  <c r="N60" i="4"/>
  <c r="O60" i="4"/>
  <c r="P60" i="4"/>
  <c r="L61" i="4"/>
  <c r="M61" i="4"/>
  <c r="N61" i="4"/>
  <c r="L62" i="4"/>
  <c r="M62" i="4"/>
  <c r="L63" i="4"/>
  <c r="M63" i="4"/>
  <c r="N63" i="4" s="1"/>
  <c r="P63" i="4"/>
  <c r="L64" i="4"/>
  <c r="M64" i="4"/>
  <c r="L65" i="4"/>
  <c r="M65" i="4"/>
  <c r="N65" i="4"/>
  <c r="O65" i="4"/>
  <c r="P65" i="4"/>
  <c r="L66" i="4"/>
  <c r="M66" i="4"/>
  <c r="L67" i="4"/>
  <c r="M67" i="4"/>
  <c r="N67" i="4"/>
  <c r="O67" i="4"/>
  <c r="P67" i="4"/>
  <c r="L68" i="4"/>
  <c r="M68" i="4"/>
  <c r="N68" i="4"/>
  <c r="O68" i="4"/>
  <c r="P68" i="4"/>
  <c r="L69" i="4"/>
  <c r="M69" i="4"/>
  <c r="N69" i="4"/>
  <c r="L70" i="4"/>
  <c r="M70" i="4"/>
  <c r="L71" i="4"/>
  <c r="M71" i="4"/>
  <c r="L72" i="4"/>
  <c r="M72" i="4"/>
  <c r="L73" i="4"/>
  <c r="M73" i="4"/>
  <c r="N73" i="4"/>
  <c r="O73" i="4"/>
  <c r="P73" i="4"/>
  <c r="L74" i="4"/>
  <c r="M74" i="4"/>
  <c r="L75" i="4"/>
  <c r="M75" i="4"/>
  <c r="N75" i="4"/>
  <c r="O75" i="4"/>
  <c r="P75" i="4"/>
  <c r="L76" i="4"/>
  <c r="M76" i="4"/>
  <c r="N76" i="4"/>
  <c r="O76" i="4"/>
  <c r="P76" i="4"/>
  <c r="L77" i="4"/>
  <c r="M77" i="4"/>
  <c r="N77" i="4"/>
  <c r="L78" i="4"/>
  <c r="M78" i="4"/>
  <c r="L79" i="4"/>
  <c r="M79" i="4"/>
  <c r="N79" i="4" s="1"/>
  <c r="P79" i="4"/>
  <c r="L80" i="4"/>
  <c r="M80" i="4"/>
  <c r="L81" i="4"/>
  <c r="M81" i="4"/>
  <c r="N81" i="4"/>
  <c r="O81" i="4"/>
  <c r="P81" i="4"/>
  <c r="L82" i="4"/>
  <c r="M82" i="4"/>
  <c r="L83" i="4"/>
  <c r="M83" i="4"/>
  <c r="N83" i="4"/>
  <c r="O83" i="4"/>
  <c r="P83" i="4"/>
  <c r="L84" i="4"/>
  <c r="M84" i="4"/>
  <c r="N84" i="4"/>
  <c r="O84" i="4"/>
  <c r="P84" i="4"/>
  <c r="L85" i="4"/>
  <c r="M85" i="4"/>
  <c r="N85" i="4"/>
  <c r="L86" i="4"/>
  <c r="M86" i="4"/>
  <c r="L87" i="4"/>
  <c r="M87" i="4"/>
  <c r="N87" i="4" s="1"/>
  <c r="P87" i="4"/>
  <c r="L88" i="4"/>
  <c r="M88" i="4"/>
  <c r="L89" i="4"/>
  <c r="M89" i="4"/>
  <c r="N89" i="4"/>
  <c r="O89" i="4"/>
  <c r="P89" i="4"/>
  <c r="L90" i="4"/>
  <c r="M90" i="4"/>
  <c r="L91" i="4"/>
  <c r="M91" i="4"/>
  <c r="N91" i="4"/>
  <c r="O91" i="4"/>
  <c r="P91" i="4"/>
  <c r="L92" i="4"/>
  <c r="M92" i="4"/>
  <c r="N92" i="4"/>
  <c r="O92" i="4"/>
  <c r="P92" i="4"/>
  <c r="L93" i="4"/>
  <c r="M93" i="4"/>
  <c r="N93" i="4"/>
  <c r="L94" i="4"/>
  <c r="M94" i="4"/>
  <c r="L95" i="4"/>
  <c r="M95" i="4"/>
  <c r="N95" i="4" s="1"/>
  <c r="P95" i="4"/>
  <c r="L96" i="4"/>
  <c r="M96" i="4"/>
  <c r="L97" i="4"/>
  <c r="M97" i="4"/>
  <c r="N97" i="4"/>
  <c r="O97" i="4"/>
  <c r="P97" i="4"/>
  <c r="L98" i="4"/>
  <c r="M98" i="4"/>
  <c r="L99" i="4"/>
  <c r="M99" i="4"/>
  <c r="N99" i="4"/>
  <c r="O99" i="4"/>
  <c r="P99" i="4"/>
  <c r="L100" i="4"/>
  <c r="M100" i="4"/>
  <c r="N100" i="4"/>
  <c r="O100" i="4"/>
  <c r="P100" i="4"/>
  <c r="L101" i="4"/>
  <c r="M101" i="4"/>
  <c r="N101" i="4"/>
  <c r="L102" i="4"/>
  <c r="M102" i="4"/>
  <c r="L103" i="4"/>
  <c r="M103" i="4"/>
  <c r="N103" i="4" s="1"/>
  <c r="P103" i="4"/>
  <c r="L104" i="4"/>
  <c r="M104" i="4"/>
  <c r="L105" i="4"/>
  <c r="M105" i="4"/>
  <c r="N105" i="4"/>
  <c r="O105" i="4"/>
  <c r="P105" i="4"/>
  <c r="L106" i="4"/>
  <c r="M106" i="4"/>
  <c r="L107" i="4"/>
  <c r="M107" i="4"/>
  <c r="N107" i="4"/>
  <c r="O107" i="4"/>
  <c r="P107" i="4"/>
  <c r="L108" i="4"/>
  <c r="M108" i="4"/>
  <c r="N108" i="4"/>
  <c r="O108" i="4"/>
  <c r="P108" i="4"/>
  <c r="L109" i="4"/>
  <c r="M109" i="4"/>
  <c r="N109" i="4"/>
  <c r="L110" i="4"/>
  <c r="M110" i="4"/>
  <c r="L111" i="4"/>
  <c r="M111" i="4"/>
  <c r="N111" i="4" s="1"/>
  <c r="P111" i="4"/>
  <c r="L112" i="4"/>
  <c r="M112" i="4"/>
  <c r="L113" i="4"/>
  <c r="M113" i="4"/>
  <c r="N113" i="4"/>
  <c r="O113" i="4"/>
  <c r="P113" i="4"/>
  <c r="L114" i="4"/>
  <c r="M114" i="4"/>
  <c r="L115" i="4"/>
  <c r="M115" i="4"/>
  <c r="N115" i="4"/>
  <c r="O115" i="4"/>
  <c r="P115" i="4"/>
  <c r="L116" i="4"/>
  <c r="M116" i="4"/>
  <c r="N116" i="4"/>
  <c r="O116" i="4"/>
  <c r="P116" i="4"/>
  <c r="L117" i="4"/>
  <c r="M117" i="4"/>
  <c r="N117" i="4"/>
  <c r="L118" i="4"/>
  <c r="M118" i="4"/>
  <c r="L119" i="4"/>
  <c r="M119" i="4"/>
  <c r="N119" i="4" s="1"/>
  <c r="P119" i="4"/>
  <c r="L120" i="4"/>
  <c r="M120" i="4"/>
  <c r="L121" i="4"/>
  <c r="M121" i="4"/>
  <c r="N121" i="4"/>
  <c r="O121" i="4" s="1"/>
  <c r="L122" i="4"/>
  <c r="M122" i="4"/>
  <c r="L123" i="4"/>
  <c r="M123" i="4"/>
  <c r="N123" i="4"/>
  <c r="O123" i="4"/>
  <c r="P123" i="4"/>
  <c r="L124" i="4"/>
  <c r="M124" i="4"/>
  <c r="N124" i="4"/>
  <c r="O124" i="4"/>
  <c r="P124" i="4"/>
  <c r="L125" i="4"/>
  <c r="M125" i="4"/>
  <c r="L126" i="4"/>
  <c r="M126" i="4"/>
  <c r="L127" i="4"/>
  <c r="M127" i="4"/>
  <c r="N127" i="4" s="1"/>
  <c r="P127" i="4"/>
  <c r="L128" i="4"/>
  <c r="M128" i="4"/>
  <c r="L129" i="4"/>
  <c r="M129" i="4"/>
  <c r="N129" i="4"/>
  <c r="O129" i="4"/>
  <c r="P129" i="4"/>
  <c r="L130" i="4"/>
  <c r="M130" i="4"/>
  <c r="L131" i="4"/>
  <c r="M131" i="4"/>
  <c r="N131" i="4"/>
  <c r="O131" i="4"/>
  <c r="P131" i="4"/>
  <c r="L132" i="4"/>
  <c r="M132" i="4"/>
  <c r="N132" i="4"/>
  <c r="O132" i="4"/>
  <c r="P132" i="4"/>
  <c r="L133" i="4"/>
  <c r="M133" i="4"/>
  <c r="N133" i="4"/>
  <c r="L134" i="4"/>
  <c r="M134" i="4"/>
  <c r="L135" i="4"/>
  <c r="M135" i="4"/>
  <c r="N135" i="4" s="1"/>
  <c r="P135" i="4" s="1"/>
  <c r="L136" i="4"/>
  <c r="M136" i="4"/>
  <c r="L137" i="4"/>
  <c r="M137" i="4"/>
  <c r="N137" i="4"/>
  <c r="O137" i="4"/>
  <c r="P137" i="4"/>
  <c r="L138" i="4"/>
  <c r="M138" i="4"/>
  <c r="L139" i="4"/>
  <c r="M139" i="4"/>
  <c r="N139" i="4"/>
  <c r="O139" i="4"/>
  <c r="P139" i="4"/>
  <c r="L140" i="4"/>
  <c r="M140" i="4"/>
  <c r="N140" i="4"/>
  <c r="O140" i="4"/>
  <c r="P140" i="4"/>
  <c r="L141" i="4"/>
  <c r="M141" i="4"/>
  <c r="N141" i="4"/>
  <c r="L142" i="4"/>
  <c r="M142" i="4"/>
  <c r="L143" i="4"/>
  <c r="M143" i="4"/>
  <c r="N143" i="4" s="1"/>
  <c r="P143" i="4"/>
  <c r="L144" i="4"/>
  <c r="M144" i="4"/>
  <c r="L145" i="4"/>
  <c r="M145" i="4"/>
  <c r="N145" i="4"/>
  <c r="O145" i="4"/>
  <c r="P145" i="4"/>
  <c r="L146" i="4"/>
  <c r="M146" i="4"/>
  <c r="L147" i="4"/>
  <c r="M147" i="4"/>
  <c r="N147" i="4"/>
  <c r="O147" i="4"/>
  <c r="P147" i="4"/>
  <c r="L148" i="4"/>
  <c r="M148" i="4"/>
  <c r="N148" i="4"/>
  <c r="O148" i="4"/>
  <c r="P148" i="4"/>
  <c r="L149" i="4"/>
  <c r="M149" i="4"/>
  <c r="N149" i="4"/>
  <c r="L150" i="4"/>
  <c r="M150" i="4"/>
  <c r="L151" i="4"/>
  <c r="M151" i="4"/>
  <c r="N151" i="4" s="1"/>
  <c r="P151" i="4"/>
  <c r="L152" i="4"/>
  <c r="M152" i="4"/>
  <c r="L153" i="4"/>
  <c r="M153" i="4"/>
  <c r="N153" i="4"/>
  <c r="O153" i="4"/>
  <c r="P153" i="4"/>
  <c r="L154" i="4"/>
  <c r="M154" i="4"/>
  <c r="L155" i="4"/>
  <c r="M155" i="4"/>
  <c r="N155" i="4"/>
  <c r="O155" i="4"/>
  <c r="P155" i="4"/>
  <c r="L156" i="4"/>
  <c r="M156" i="4"/>
  <c r="N156" i="4"/>
  <c r="O156" i="4"/>
  <c r="P156" i="4"/>
  <c r="L157" i="4"/>
  <c r="M157" i="4"/>
  <c r="N157" i="4"/>
  <c r="L158" i="4"/>
  <c r="M158" i="4"/>
  <c r="L159" i="4"/>
  <c r="M159" i="4"/>
  <c r="N159" i="4" s="1"/>
  <c r="P159" i="4"/>
  <c r="L160" i="4"/>
  <c r="M160" i="4"/>
  <c r="L161" i="4"/>
  <c r="M161" i="4"/>
  <c r="N161" i="4"/>
  <c r="P161" i="4" s="1"/>
  <c r="O161" i="4"/>
  <c r="L162" i="4"/>
  <c r="M162" i="4"/>
  <c r="L163" i="4"/>
  <c r="M163" i="4"/>
  <c r="N163" i="4"/>
  <c r="O163" i="4"/>
  <c r="P163" i="4"/>
  <c r="L164" i="4"/>
  <c r="M164" i="4"/>
  <c r="N164" i="4"/>
  <c r="O164" i="4"/>
  <c r="P164" i="4"/>
  <c r="L165" i="4"/>
  <c r="M165" i="4"/>
  <c r="N165" i="4"/>
  <c r="L166" i="4"/>
  <c r="M166" i="4"/>
  <c r="L167" i="4"/>
  <c r="M167" i="4"/>
  <c r="N167" i="4" s="1"/>
  <c r="P167" i="4"/>
  <c r="L168" i="4"/>
  <c r="M168" i="4"/>
  <c r="L169" i="4"/>
  <c r="M169" i="4"/>
  <c r="N169" i="4"/>
  <c r="O169" i="4"/>
  <c r="P169" i="4"/>
  <c r="L170" i="4"/>
  <c r="M170" i="4"/>
  <c r="L171" i="4"/>
  <c r="M171" i="4"/>
  <c r="N171" i="4"/>
  <c r="O171" i="4"/>
  <c r="P171" i="4"/>
  <c r="L172" i="4"/>
  <c r="M172" i="4"/>
  <c r="N172" i="4"/>
  <c r="O172" i="4"/>
  <c r="P172" i="4"/>
  <c r="L173" i="4"/>
  <c r="M173" i="4"/>
  <c r="N173" i="4"/>
  <c r="L174" i="4"/>
  <c r="M174" i="4"/>
  <c r="L175" i="4"/>
  <c r="M175" i="4"/>
  <c r="N175" i="4" s="1"/>
  <c r="P175" i="4"/>
  <c r="L176" i="4"/>
  <c r="M176" i="4"/>
  <c r="L177" i="4"/>
  <c r="M177" i="4"/>
  <c r="N177" i="4"/>
  <c r="O177" i="4"/>
  <c r="P177" i="4"/>
  <c r="L178" i="4"/>
  <c r="M178" i="4"/>
  <c r="L179" i="4"/>
  <c r="M179" i="4"/>
  <c r="N179" i="4"/>
  <c r="O179" i="4"/>
  <c r="P179" i="4"/>
  <c r="L180" i="4"/>
  <c r="M180" i="4"/>
  <c r="N180" i="4"/>
  <c r="O180" i="4"/>
  <c r="P180" i="4"/>
  <c r="L181" i="4"/>
  <c r="M181" i="4"/>
  <c r="N181" i="4"/>
  <c r="L182" i="4"/>
  <c r="M182" i="4"/>
  <c r="L183" i="4"/>
  <c r="M183" i="4"/>
  <c r="N183" i="4" s="1"/>
  <c r="P183" i="4" s="1"/>
  <c r="L184" i="4"/>
  <c r="M184" i="4"/>
  <c r="L185" i="4"/>
  <c r="M185" i="4"/>
  <c r="N185" i="4"/>
  <c r="O185" i="4" s="1"/>
  <c r="L186" i="4"/>
  <c r="M186" i="4"/>
  <c r="L187" i="4"/>
  <c r="M187" i="4"/>
  <c r="N187" i="4"/>
  <c r="O187" i="4"/>
  <c r="P187" i="4"/>
  <c r="L188" i="4"/>
  <c r="M188" i="4"/>
  <c r="N188" i="4"/>
  <c r="O188" i="4"/>
  <c r="P188" i="4"/>
  <c r="L189" i="4"/>
  <c r="M189" i="4"/>
  <c r="L190" i="4"/>
  <c r="M190" i="4"/>
  <c r="L191" i="4"/>
  <c r="M191" i="4"/>
  <c r="N191" i="4" s="1"/>
  <c r="P191" i="4"/>
  <c r="L192" i="4"/>
  <c r="M192" i="4"/>
  <c r="L193" i="4"/>
  <c r="M193" i="4"/>
  <c r="N193" i="4"/>
  <c r="O193" i="4"/>
  <c r="P193" i="4"/>
  <c r="L194" i="4"/>
  <c r="M194" i="4"/>
  <c r="L195" i="4"/>
  <c r="M195" i="4"/>
  <c r="N195" i="4"/>
  <c r="O195" i="4"/>
  <c r="P195" i="4"/>
  <c r="L196" i="4"/>
  <c r="M196" i="4"/>
  <c r="N196" i="4"/>
  <c r="O196" i="4"/>
  <c r="P196" i="4"/>
  <c r="L197" i="4"/>
  <c r="M197" i="4"/>
  <c r="N197" i="4"/>
  <c r="L198" i="4"/>
  <c r="M198" i="4"/>
  <c r="L199" i="4"/>
  <c r="M199" i="4"/>
  <c r="N199" i="4" s="1"/>
  <c r="P199" i="4" s="1"/>
  <c r="L200" i="4"/>
  <c r="M200" i="4"/>
  <c r="L201" i="4"/>
  <c r="M201" i="4"/>
  <c r="N201" i="4"/>
  <c r="O201" i="4"/>
  <c r="P201" i="4"/>
  <c r="L202" i="4"/>
  <c r="M202" i="4"/>
  <c r="L203" i="4"/>
  <c r="M203" i="4"/>
  <c r="N203" i="4"/>
  <c r="O203" i="4"/>
  <c r="P203" i="4"/>
  <c r="L204" i="4"/>
  <c r="M204" i="4"/>
  <c r="N204" i="4"/>
  <c r="O204" i="4"/>
  <c r="P204" i="4"/>
  <c r="L205" i="4"/>
  <c r="M205" i="4"/>
  <c r="N205" i="4"/>
  <c r="L206" i="4"/>
  <c r="M206" i="4"/>
  <c r="L207" i="4"/>
  <c r="M207" i="4"/>
  <c r="N207" i="4" s="1"/>
  <c r="P207" i="4"/>
  <c r="L208" i="4"/>
  <c r="M208" i="4"/>
  <c r="L209" i="4"/>
  <c r="M209" i="4"/>
  <c r="N209" i="4"/>
  <c r="O209" i="4"/>
  <c r="P209" i="4"/>
  <c r="L210" i="4"/>
  <c r="M210" i="4"/>
  <c r="L211" i="4"/>
  <c r="M211" i="4"/>
  <c r="N211" i="4"/>
  <c r="O211" i="4"/>
  <c r="P211" i="4"/>
  <c r="L212" i="4"/>
  <c r="M212" i="4"/>
  <c r="N212" i="4"/>
  <c r="O212" i="4"/>
  <c r="P212" i="4"/>
  <c r="L213" i="4"/>
  <c r="M213" i="4"/>
  <c r="N213" i="4"/>
  <c r="L214" i="4"/>
  <c r="M214" i="4"/>
  <c r="L215" i="4"/>
  <c r="M215" i="4"/>
  <c r="N215" i="4" s="1"/>
  <c r="P215" i="4"/>
  <c r="L216" i="4"/>
  <c r="M216" i="4"/>
  <c r="L217" i="4"/>
  <c r="M217" i="4"/>
  <c r="N217" i="4"/>
  <c r="O217" i="4"/>
  <c r="P217" i="4"/>
  <c r="L218" i="4"/>
  <c r="M218" i="4"/>
  <c r="L219" i="4"/>
  <c r="M219" i="4"/>
  <c r="N219" i="4"/>
  <c r="O219" i="4"/>
  <c r="P219" i="4"/>
  <c r="L220" i="4"/>
  <c r="M220" i="4"/>
  <c r="N220" i="4"/>
  <c r="O220" i="4"/>
  <c r="P220" i="4"/>
  <c r="L221" i="4"/>
  <c r="M221" i="4"/>
  <c r="N221" i="4"/>
  <c r="L222" i="4"/>
  <c r="M222" i="4"/>
  <c r="L223" i="4"/>
  <c r="M223" i="4"/>
  <c r="L224" i="4"/>
  <c r="M224" i="4"/>
  <c r="L225" i="4"/>
  <c r="M225" i="4"/>
  <c r="N225" i="4"/>
  <c r="P225" i="4" s="1"/>
  <c r="O225" i="4"/>
  <c r="P3" i="4"/>
  <c r="O3" i="4"/>
  <c r="N3" i="4"/>
  <c r="M3" i="4"/>
  <c r="L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3" i="4"/>
  <c r="C11" i="2"/>
  <c r="C10" i="2"/>
  <c r="C9" i="2"/>
  <c r="C8" i="2"/>
  <c r="C7" i="2"/>
  <c r="C6" i="2"/>
  <c r="C5" i="2"/>
  <c r="C4" i="2"/>
  <c r="C2" i="2"/>
  <c r="C3" i="2"/>
  <c r="B11" i="2"/>
  <c r="B10" i="2"/>
  <c r="B9" i="2"/>
  <c r="B8" i="2"/>
  <c r="B7" i="2"/>
  <c r="B6" i="2"/>
  <c r="B5" i="2"/>
  <c r="B4" i="2"/>
  <c r="B3" i="2"/>
  <c r="B2" i="2"/>
  <c r="B221" i="1"/>
  <c r="B214" i="1"/>
  <c r="B204" i="1"/>
  <c r="B198" i="1"/>
  <c r="B169" i="1"/>
  <c r="B163" i="1"/>
  <c r="B170" i="1" s="1"/>
  <c r="B193" i="1" s="1"/>
  <c r="B158" i="1"/>
  <c r="B140" i="1"/>
  <c r="B138" i="1"/>
  <c r="B135" i="1"/>
  <c r="B122" i="1"/>
  <c r="B111" i="1"/>
  <c r="B108" i="1"/>
  <c r="B100" i="1"/>
  <c r="B93" i="1"/>
  <c r="B82" i="1"/>
  <c r="B71" i="1"/>
  <c r="B56" i="1"/>
  <c r="B4" i="1" s="1"/>
  <c r="B32" i="1"/>
  <c r="B20" i="1"/>
  <c r="B22" i="1" s="1"/>
  <c r="M5" i="7" l="1"/>
  <c r="N182" i="4"/>
  <c r="O182" i="4" s="1"/>
  <c r="P182" i="4"/>
  <c r="O218" i="4"/>
  <c r="P165" i="4"/>
  <c r="O154" i="4"/>
  <c r="N104" i="4"/>
  <c r="P104" i="4" s="1"/>
  <c r="O64" i="4"/>
  <c r="N40" i="4"/>
  <c r="P40" i="4" s="1"/>
  <c r="P205" i="4"/>
  <c r="N144" i="4"/>
  <c r="O144" i="4" s="1"/>
  <c r="N80" i="4"/>
  <c r="P80" i="4" s="1"/>
  <c r="N184" i="4"/>
  <c r="P184" i="4" s="1"/>
  <c r="O170" i="4"/>
  <c r="N110" i="4"/>
  <c r="O110" i="4" s="1"/>
  <c r="N46" i="4"/>
  <c r="O46" i="4" s="1"/>
  <c r="P46" i="4"/>
  <c r="P221" i="4"/>
  <c r="N160" i="4"/>
  <c r="P160" i="4" s="1"/>
  <c r="O146" i="4"/>
  <c r="N96" i="4"/>
  <c r="P96" i="4" s="1"/>
  <c r="N32" i="4"/>
  <c r="O32" i="4" s="1"/>
  <c r="N200" i="4"/>
  <c r="P200" i="4" s="1"/>
  <c r="P197" i="4"/>
  <c r="N190" i="4"/>
  <c r="O190" i="4" s="1"/>
  <c r="P190" i="4"/>
  <c r="N136" i="4"/>
  <c r="P136" i="4" s="1"/>
  <c r="P133" i="4"/>
  <c r="N126" i="4"/>
  <c r="O126" i="4" s="1"/>
  <c r="P126" i="4"/>
  <c r="O96" i="4"/>
  <c r="N72" i="4"/>
  <c r="P72" i="4" s="1"/>
  <c r="N62" i="4"/>
  <c r="O62" i="4" s="1"/>
  <c r="P62" i="4"/>
  <c r="N192" i="4"/>
  <c r="P192" i="4" s="1"/>
  <c r="O152" i="4"/>
  <c r="N128" i="4"/>
  <c r="O128" i="4" s="1"/>
  <c r="N118" i="4"/>
  <c r="O118" i="4" s="1"/>
  <c r="O88" i="4"/>
  <c r="N54" i="4"/>
  <c r="O54" i="4" s="1"/>
  <c r="P54" i="4"/>
  <c r="N168" i="4"/>
  <c r="O168" i="4" s="1"/>
  <c r="N94" i="4"/>
  <c r="O94" i="4" s="1"/>
  <c r="P94" i="4"/>
  <c r="N208" i="4"/>
  <c r="P208" i="4" s="1"/>
  <c r="P141" i="4"/>
  <c r="O130" i="4"/>
  <c r="O66" i="4"/>
  <c r="N7" i="4"/>
  <c r="P7" i="4" s="1"/>
  <c r="O7" i="4"/>
  <c r="N174" i="4"/>
  <c r="O174" i="4" s="1"/>
  <c r="P174" i="4"/>
  <c r="N120" i="4"/>
  <c r="P120" i="4" s="1"/>
  <c r="O80" i="4"/>
  <c r="O42" i="4"/>
  <c r="O210" i="4"/>
  <c r="N150" i="4"/>
  <c r="O150" i="4" s="1"/>
  <c r="P150" i="4"/>
  <c r="N86" i="4"/>
  <c r="O86" i="4" s="1"/>
  <c r="P86" i="4"/>
  <c r="N22" i="4"/>
  <c r="O22" i="4" s="1"/>
  <c r="P22" i="4"/>
  <c r="O200" i="4"/>
  <c r="P185" i="4"/>
  <c r="N176" i="4"/>
  <c r="P176" i="4" s="1"/>
  <c r="P173" i="4"/>
  <c r="N166" i="4"/>
  <c r="O166" i="4" s="1"/>
  <c r="P166" i="4"/>
  <c r="O162" i="4"/>
  <c r="O136" i="4"/>
  <c r="P121" i="4"/>
  <c r="N112" i="4"/>
  <c r="P112" i="4" s="1"/>
  <c r="N102" i="4"/>
  <c r="O102" i="4" s="1"/>
  <c r="P102" i="4"/>
  <c r="O98" i="4"/>
  <c r="O72" i="4"/>
  <c r="P48" i="4"/>
  <c r="N48" i="4"/>
  <c r="N38" i="4"/>
  <c r="O38" i="4" s="1"/>
  <c r="P38" i="4"/>
  <c r="O34" i="4"/>
  <c r="O216" i="4"/>
  <c r="P64" i="4"/>
  <c r="N64" i="4"/>
  <c r="N222" i="4"/>
  <c r="O222" i="4" s="1"/>
  <c r="P222" i="4"/>
  <c r="O192" i="4"/>
  <c r="N158" i="4"/>
  <c r="O158" i="4" s="1"/>
  <c r="P158" i="4"/>
  <c r="N30" i="4"/>
  <c r="O30" i="4" s="1"/>
  <c r="P30" i="4"/>
  <c r="P5" i="4"/>
  <c r="N198" i="4"/>
  <c r="O198" i="4" s="1"/>
  <c r="P198" i="4"/>
  <c r="N134" i="4"/>
  <c r="O134" i="4" s="1"/>
  <c r="P134" i="4"/>
  <c r="N70" i="4"/>
  <c r="O70" i="4" s="1"/>
  <c r="P70" i="4"/>
  <c r="N16" i="4"/>
  <c r="P16" i="4" s="1"/>
  <c r="O5" i="4"/>
  <c r="P181" i="4"/>
  <c r="P117" i="4"/>
  <c r="O106" i="4"/>
  <c r="N56" i="4"/>
  <c r="P56" i="4" s="1"/>
  <c r="N224" i="4"/>
  <c r="P224" i="4" s="1"/>
  <c r="N214" i="4"/>
  <c r="O214" i="4" s="1"/>
  <c r="P214" i="4"/>
  <c r="P157" i="4"/>
  <c r="P13" i="4"/>
  <c r="P216" i="4"/>
  <c r="N216" i="4"/>
  <c r="P213" i="4"/>
  <c r="N206" i="4"/>
  <c r="O206" i="4" s="1"/>
  <c r="P206" i="4"/>
  <c r="O202" i="4"/>
  <c r="N189" i="4"/>
  <c r="P189" i="4" s="1"/>
  <c r="O176" i="4"/>
  <c r="P152" i="4"/>
  <c r="N152" i="4"/>
  <c r="P149" i="4"/>
  <c r="N142" i="4"/>
  <c r="O142" i="4" s="1"/>
  <c r="P142" i="4"/>
  <c r="O138" i="4"/>
  <c r="N125" i="4"/>
  <c r="P125" i="4" s="1"/>
  <c r="O112" i="4"/>
  <c r="P88" i="4"/>
  <c r="N88" i="4"/>
  <c r="N78" i="4"/>
  <c r="O78" i="4" s="1"/>
  <c r="P78" i="4"/>
  <c r="O74" i="4"/>
  <c r="O48" i="4"/>
  <c r="N24" i="4"/>
  <c r="P24" i="4" s="1"/>
  <c r="N8" i="4"/>
  <c r="P8" i="4" s="1"/>
  <c r="P37" i="4"/>
  <c r="N223" i="4"/>
  <c r="P223" i="4" s="1"/>
  <c r="O223" i="4"/>
  <c r="O199" i="4"/>
  <c r="O191" i="4"/>
  <c r="O181" i="4"/>
  <c r="O173" i="4"/>
  <c r="O165" i="4"/>
  <c r="O151" i="4"/>
  <c r="O141" i="4"/>
  <c r="O111" i="4"/>
  <c r="O101" i="4"/>
  <c r="O85" i="4"/>
  <c r="O77" i="4"/>
  <c r="O53" i="4"/>
  <c r="N47" i="4"/>
  <c r="P47" i="4" s="1"/>
  <c r="O47" i="4"/>
  <c r="N39" i="4"/>
  <c r="P39" i="4" s="1"/>
  <c r="O39" i="4"/>
  <c r="O29" i="4"/>
  <c r="P101" i="4"/>
  <c r="P85" i="4"/>
  <c r="P77" i="4"/>
  <c r="P53" i="4"/>
  <c r="P21" i="4"/>
  <c r="O13" i="4"/>
  <c r="O221" i="4"/>
  <c r="O213" i="4"/>
  <c r="O207" i="4"/>
  <c r="O189" i="4"/>
  <c r="O183" i="4"/>
  <c r="O159" i="4"/>
  <c r="O149" i="4"/>
  <c r="O135" i="4"/>
  <c r="O119" i="4"/>
  <c r="O109" i="4"/>
  <c r="O103" i="4"/>
  <c r="O95" i="4"/>
  <c r="O87" i="4"/>
  <c r="N71" i="4"/>
  <c r="P71" i="4" s="1"/>
  <c r="O71" i="4"/>
  <c r="O63" i="4"/>
  <c r="O61" i="4"/>
  <c r="O45" i="4"/>
  <c r="O37" i="4"/>
  <c r="N23" i="4"/>
  <c r="P23" i="4" s="1"/>
  <c r="O23" i="4"/>
  <c r="N10" i="4"/>
  <c r="P10" i="4"/>
  <c r="P109" i="4"/>
  <c r="P93" i="4"/>
  <c r="P69" i="4"/>
  <c r="P61" i="4"/>
  <c r="P45" i="4"/>
  <c r="P29" i="4"/>
  <c r="N15" i="4"/>
  <c r="P15" i="4" s="1"/>
  <c r="O15" i="4"/>
  <c r="O215" i="4"/>
  <c r="O205" i="4"/>
  <c r="O197" i="4"/>
  <c r="O175" i="4"/>
  <c r="O167" i="4"/>
  <c r="O157" i="4"/>
  <c r="O143" i="4"/>
  <c r="O133" i="4"/>
  <c r="O127" i="4"/>
  <c r="O117" i="4"/>
  <c r="O93" i="4"/>
  <c r="O79" i="4"/>
  <c r="O69" i="4"/>
  <c r="N55" i="4"/>
  <c r="P55" i="4" s="1"/>
  <c r="N31" i="4"/>
  <c r="P31" i="4" s="1"/>
  <c r="O31" i="4"/>
  <c r="O21" i="4"/>
  <c r="N218" i="4"/>
  <c r="P218" i="4"/>
  <c r="N210" i="4"/>
  <c r="P210" i="4"/>
  <c r="N202" i="4"/>
  <c r="P202" i="4"/>
  <c r="N194" i="4"/>
  <c r="O194" i="4" s="1"/>
  <c r="P194" i="4"/>
  <c r="N186" i="4"/>
  <c r="O186" i="4" s="1"/>
  <c r="P186" i="4"/>
  <c r="N178" i="4"/>
  <c r="O178" i="4" s="1"/>
  <c r="P178" i="4"/>
  <c r="N170" i="4"/>
  <c r="P170" i="4"/>
  <c r="N162" i="4"/>
  <c r="P162" i="4"/>
  <c r="N154" i="4"/>
  <c r="P154" i="4"/>
  <c r="N146" i="4"/>
  <c r="P146" i="4"/>
  <c r="N138" i="4"/>
  <c r="P138" i="4"/>
  <c r="N130" i="4"/>
  <c r="P130" i="4"/>
  <c r="N122" i="4"/>
  <c r="O122" i="4" s="1"/>
  <c r="P122" i="4"/>
  <c r="N114" i="4"/>
  <c r="O114" i="4" s="1"/>
  <c r="P114" i="4"/>
  <c r="N106" i="4"/>
  <c r="P106" i="4"/>
  <c r="N98" i="4"/>
  <c r="P98" i="4"/>
  <c r="N90" i="4"/>
  <c r="O90" i="4" s="1"/>
  <c r="P90" i="4"/>
  <c r="N82" i="4"/>
  <c r="O82" i="4" s="1"/>
  <c r="P82" i="4"/>
  <c r="N74" i="4"/>
  <c r="P74" i="4"/>
  <c r="N66" i="4"/>
  <c r="P66" i="4"/>
  <c r="N58" i="4"/>
  <c r="O58" i="4" s="1"/>
  <c r="P58" i="4"/>
  <c r="N50" i="4"/>
  <c r="O50" i="4" s="1"/>
  <c r="P50" i="4"/>
  <c r="N42" i="4"/>
  <c r="P42" i="4"/>
  <c r="N34" i="4"/>
  <c r="P34" i="4"/>
  <c r="N26" i="4"/>
  <c r="O26" i="4" s="1"/>
  <c r="P26" i="4"/>
  <c r="N18" i="4"/>
  <c r="O18" i="4" s="1"/>
  <c r="P18" i="4"/>
  <c r="O10" i="4"/>
  <c r="B5" i="1"/>
  <c r="B3" i="1"/>
  <c r="B9" i="1"/>
  <c r="B6" i="1"/>
  <c r="B217" i="1"/>
  <c r="B222" i="1" s="1"/>
  <c r="B8" i="1" s="1"/>
  <c r="B7" i="1"/>
  <c r="B10" i="1" s="1"/>
  <c r="E221" i="1"/>
  <c r="D221" i="1"/>
  <c r="C221" i="1"/>
  <c r="E214" i="1"/>
  <c r="D214" i="1"/>
  <c r="C214" i="1"/>
  <c r="E204" i="1"/>
  <c r="D204" i="1"/>
  <c r="C204" i="1"/>
  <c r="E198" i="1"/>
  <c r="D198" i="1"/>
  <c r="C198" i="1"/>
  <c r="E169" i="1"/>
  <c r="D169" i="1"/>
  <c r="C169" i="1"/>
  <c r="E163" i="1"/>
  <c r="D163" i="1"/>
  <c r="C163" i="1"/>
  <c r="C170" i="1" s="1"/>
  <c r="C193" i="1" s="1"/>
  <c r="E158" i="1"/>
  <c r="D158" i="1"/>
  <c r="C158" i="1"/>
  <c r="E140" i="1"/>
  <c r="D140" i="1"/>
  <c r="C140" i="1"/>
  <c r="E138" i="1"/>
  <c r="D138" i="1"/>
  <c r="C138" i="1"/>
  <c r="E135" i="1"/>
  <c r="D135" i="1"/>
  <c r="C135" i="1"/>
  <c r="E122" i="1"/>
  <c r="D122" i="1"/>
  <c r="C122" i="1"/>
  <c r="E111" i="1"/>
  <c r="D111" i="1"/>
  <c r="C111" i="1"/>
  <c r="E108" i="1"/>
  <c r="D108" i="1"/>
  <c r="C108" i="1"/>
  <c r="E100" i="1"/>
  <c r="D100" i="1"/>
  <c r="C100" i="1"/>
  <c r="E93" i="1"/>
  <c r="D93" i="1"/>
  <c r="C93" i="1"/>
  <c r="E82" i="1"/>
  <c r="D82" i="1"/>
  <c r="C82" i="1"/>
  <c r="E71" i="1"/>
  <c r="D71" i="1"/>
  <c r="C71" i="1"/>
  <c r="E56" i="1"/>
  <c r="D56" i="1"/>
  <c r="C56" i="1"/>
  <c r="E32" i="1"/>
  <c r="D32" i="1"/>
  <c r="C32" i="1"/>
  <c r="E20" i="1"/>
  <c r="E22" i="1" s="1"/>
  <c r="E3" i="1" s="1"/>
  <c r="D20" i="1"/>
  <c r="D22" i="1" s="1"/>
  <c r="C20" i="1"/>
  <c r="C22" i="1" s="1"/>
  <c r="P144" i="4" l="1"/>
  <c r="P128" i="4"/>
  <c r="O224" i="4"/>
  <c r="O16" i="4"/>
  <c r="O40" i="4"/>
  <c r="O125" i="4"/>
  <c r="O184" i="4"/>
  <c r="O24" i="4"/>
  <c r="O120" i="4"/>
  <c r="O56" i="4"/>
  <c r="O160" i="4"/>
  <c r="O8" i="4"/>
  <c r="P32" i="4"/>
  <c r="P168" i="4"/>
  <c r="O55" i="4"/>
  <c r="O208" i="4"/>
  <c r="P118" i="4"/>
  <c r="P110" i="4"/>
  <c r="O104" i="4"/>
  <c r="C3" i="1"/>
  <c r="E4" i="1"/>
  <c r="D4" i="1"/>
  <c r="E9" i="1"/>
  <c r="C4" i="1"/>
  <c r="C9" i="1" s="1"/>
  <c r="D170" i="1"/>
  <c r="D193" i="1" s="1"/>
  <c r="D217" i="1" s="1"/>
  <c r="D222" i="1" s="1"/>
  <c r="D8" i="1" s="1"/>
  <c r="E170" i="1"/>
  <c r="E193" i="1" s="1"/>
  <c r="E217" i="1" s="1"/>
  <c r="E222" i="1" s="1"/>
  <c r="E8" i="1" s="1"/>
  <c r="C217" i="1"/>
  <c r="C222" i="1" s="1"/>
  <c r="C8" i="1" s="1"/>
  <c r="C5" i="1"/>
  <c r="C6" i="1"/>
  <c r="C7" i="1"/>
  <c r="D5" i="1"/>
  <c r="D7" i="1"/>
  <c r="D3" i="1"/>
  <c r="D9" i="1" s="1"/>
  <c r="D6" i="1"/>
  <c r="E5" i="1"/>
  <c r="E6" i="1"/>
  <c r="E7" i="1"/>
  <c r="E10" i="1" l="1"/>
  <c r="D10" i="1"/>
  <c r="C10" i="1"/>
  <c r="H221" i="1"/>
  <c r="G221" i="1"/>
  <c r="F221" i="1"/>
  <c r="H214" i="1"/>
  <c r="G214" i="1"/>
  <c r="F214" i="1"/>
  <c r="H204" i="1"/>
  <c r="G204" i="1"/>
  <c r="F204" i="1"/>
  <c r="H198" i="1"/>
  <c r="G198" i="1"/>
  <c r="F198" i="1"/>
  <c r="H169" i="1"/>
  <c r="G169" i="1"/>
  <c r="F169" i="1"/>
  <c r="H163" i="1"/>
  <c r="G163" i="1"/>
  <c r="G170" i="1" s="1"/>
  <c r="G193" i="1" s="1"/>
  <c r="F163" i="1"/>
  <c r="F170" i="1" s="1"/>
  <c r="F193" i="1" s="1"/>
  <c r="H158" i="1"/>
  <c r="G158" i="1"/>
  <c r="F158" i="1"/>
  <c r="H140" i="1"/>
  <c r="G140" i="1"/>
  <c r="F140" i="1"/>
  <c r="H138" i="1"/>
  <c r="G138" i="1"/>
  <c r="F138" i="1"/>
  <c r="H135" i="1"/>
  <c r="G135" i="1"/>
  <c r="F135" i="1"/>
  <c r="H122" i="1"/>
  <c r="G122" i="1"/>
  <c r="F122" i="1"/>
  <c r="H111" i="1"/>
  <c r="G111" i="1"/>
  <c r="F111" i="1"/>
  <c r="H108" i="1"/>
  <c r="G108" i="1"/>
  <c r="F108" i="1"/>
  <c r="H100" i="1"/>
  <c r="G100" i="1"/>
  <c r="F100" i="1"/>
  <c r="H93" i="1"/>
  <c r="G93" i="1"/>
  <c r="F93" i="1"/>
  <c r="H82" i="1"/>
  <c r="G82" i="1"/>
  <c r="F82" i="1"/>
  <c r="H71" i="1"/>
  <c r="G71" i="1"/>
  <c r="F71" i="1"/>
  <c r="H56" i="1"/>
  <c r="G56" i="1"/>
  <c r="F56" i="1"/>
  <c r="H32" i="1"/>
  <c r="G32" i="1"/>
  <c r="F32" i="1"/>
  <c r="H20" i="1"/>
  <c r="H22" i="1" s="1"/>
  <c r="G20" i="1"/>
  <c r="G22" i="1" s="1"/>
  <c r="F20" i="1"/>
  <c r="F22" i="1" s="1"/>
  <c r="F3" i="1" s="1"/>
  <c r="H4" i="1" l="1"/>
  <c r="G4" i="1"/>
  <c r="H170" i="1"/>
  <c r="H193" i="1" s="1"/>
  <c r="H217" i="1" s="1"/>
  <c r="H222" i="1" s="1"/>
  <c r="H8" i="1" s="1"/>
  <c r="F4" i="1"/>
  <c r="F9" i="1" s="1"/>
  <c r="G217" i="1"/>
  <c r="G222" i="1" s="1"/>
  <c r="G8" i="1" s="1"/>
  <c r="G3" i="1"/>
  <c r="G9" i="1" s="1"/>
  <c r="H6" i="1"/>
  <c r="F217" i="1"/>
  <c r="F222" i="1" s="1"/>
  <c r="F8" i="1" s="1"/>
  <c r="H3" i="1"/>
  <c r="H9" i="1" s="1"/>
  <c r="H5" i="1"/>
  <c r="H7" i="1"/>
  <c r="F6" i="1"/>
  <c r="F7" i="1"/>
  <c r="G6" i="1"/>
  <c r="F5" i="1"/>
  <c r="G5" i="1"/>
  <c r="G7" i="1"/>
  <c r="H10" i="1" l="1"/>
  <c r="F10" i="1"/>
  <c r="G10" i="1"/>
  <c r="K221" i="1"/>
  <c r="K214" i="1"/>
  <c r="J221" i="1"/>
  <c r="J214" i="1"/>
  <c r="I221" i="1"/>
  <c r="I214" i="1"/>
  <c r="K204" i="1"/>
  <c r="K198" i="1"/>
  <c r="K169" i="1"/>
  <c r="K163" i="1"/>
  <c r="J204" i="1"/>
  <c r="J198" i="1"/>
  <c r="J169" i="1"/>
  <c r="J163" i="1"/>
  <c r="I204" i="1"/>
  <c r="I198" i="1"/>
  <c r="I169" i="1"/>
  <c r="I163" i="1"/>
  <c r="K158" i="1"/>
  <c r="K140" i="1"/>
  <c r="K138" i="1"/>
  <c r="K135" i="1"/>
  <c r="K122" i="1"/>
  <c r="J158" i="1"/>
  <c r="J140" i="1"/>
  <c r="J138" i="1"/>
  <c r="J135" i="1"/>
  <c r="J122" i="1"/>
  <c r="I158" i="1"/>
  <c r="I140" i="1"/>
  <c r="I138" i="1"/>
  <c r="I135" i="1"/>
  <c r="I122" i="1"/>
  <c r="K111" i="1"/>
  <c r="K108" i="1"/>
  <c r="K100" i="1"/>
  <c r="K93" i="1"/>
  <c r="K82" i="1"/>
  <c r="K71" i="1"/>
  <c r="J111" i="1"/>
  <c r="J108" i="1"/>
  <c r="J100" i="1"/>
  <c r="J93" i="1"/>
  <c r="J82" i="1"/>
  <c r="J71" i="1"/>
  <c r="I111" i="1"/>
  <c r="I108" i="1"/>
  <c r="I100" i="1"/>
  <c r="I93" i="1"/>
  <c r="I82" i="1"/>
  <c r="I71" i="1"/>
  <c r="K56" i="1"/>
  <c r="K4" i="1" s="1"/>
  <c r="K32" i="1"/>
  <c r="J56" i="1"/>
  <c r="J32" i="1"/>
  <c r="I56" i="1"/>
  <c r="I32" i="1"/>
  <c r="K20" i="1"/>
  <c r="K22" i="1" s="1"/>
  <c r="J20" i="1"/>
  <c r="J22" i="1" s="1"/>
  <c r="I20" i="1"/>
  <c r="I22" i="1" s="1"/>
  <c r="K5" i="1" l="1"/>
  <c r="K170" i="1"/>
  <c r="K193" i="1" s="1"/>
  <c r="K217" i="1" s="1"/>
  <c r="K222" i="1" s="1"/>
  <c r="K8" i="1" s="1"/>
  <c r="J5" i="1"/>
  <c r="I170" i="1"/>
  <c r="I193" i="1" s="1"/>
  <c r="I217" i="1" s="1"/>
  <c r="I222" i="1" s="1"/>
  <c r="I8" i="1" s="1"/>
  <c r="K3" i="1"/>
  <c r="K9" i="1" s="1"/>
  <c r="I5" i="1"/>
  <c r="J3" i="1"/>
  <c r="I6" i="1"/>
  <c r="K6" i="1"/>
  <c r="K7" i="1"/>
  <c r="I7" i="1"/>
  <c r="I4" i="1"/>
  <c r="J170" i="1"/>
  <c r="J193" i="1" s="1"/>
  <c r="J217" i="1" s="1"/>
  <c r="J222" i="1" s="1"/>
  <c r="J8" i="1" s="1"/>
  <c r="J7" i="1"/>
  <c r="J6" i="1"/>
  <c r="J4" i="1"/>
  <c r="I3" i="1"/>
  <c r="I10" i="1" l="1"/>
  <c r="K10" i="1"/>
  <c r="I9" i="1"/>
  <c r="J9" i="1"/>
  <c r="J10" i="1"/>
</calcChain>
</file>

<file path=xl/sharedStrings.xml><?xml version="1.0" encoding="utf-8"?>
<sst xmlns="http://schemas.openxmlformats.org/spreadsheetml/2006/main" count="1375" uniqueCount="254">
  <si>
    <t>Periods</t>
  </si>
  <si>
    <t>Total Non-Current Assets</t>
  </si>
  <si>
    <t>Total Current Assets</t>
  </si>
  <si>
    <t>Total Equity &amp; Reserves</t>
  </si>
  <si>
    <t>Total Non-Current Liabilities</t>
  </si>
  <si>
    <t>Total Current Liabilities</t>
  </si>
  <si>
    <t>Total Income &amp; Expenses</t>
  </si>
  <si>
    <t>Total Assets</t>
  </si>
  <si>
    <t>Total Liabs &amp; Net Worth</t>
  </si>
  <si>
    <t>Land</t>
  </si>
  <si>
    <t>Buildings</t>
  </si>
  <si>
    <t>Leasehold Improvements</t>
  </si>
  <si>
    <t>Plant &amp; Equipment</t>
  </si>
  <si>
    <t>Furniture &amp; Fixtures</t>
  </si>
  <si>
    <t>Vehicles &amp; Transport Equipment</t>
  </si>
  <si>
    <t>Other Fixed Assets</t>
  </si>
  <si>
    <t>Construction in Progress</t>
  </si>
  <si>
    <t>Property Development Investments</t>
  </si>
  <si>
    <t>Gross Fixed Assets</t>
  </si>
  <si>
    <t>Accum Deprec &amp; Impairment (-)</t>
  </si>
  <si>
    <t>Net Fixed Assets</t>
  </si>
  <si>
    <t>Goodwill</t>
  </si>
  <si>
    <t>Goodwill impairment(-) </t>
  </si>
  <si>
    <t>Concessions, Licenses &amp; Trdmrks</t>
  </si>
  <si>
    <t>Patents</t>
  </si>
  <si>
    <t>Start-Up Capitalized Expenses</t>
  </si>
  <si>
    <t>R&amp;D Capitalized Expenses</t>
  </si>
  <si>
    <t>Leasings</t>
  </si>
  <si>
    <t>Other Intangible Assets</t>
  </si>
  <si>
    <t>Accum Intgbl Assets Amort(-)</t>
  </si>
  <si>
    <t>Net Intangibles</t>
  </si>
  <si>
    <t>Investments in Group Companies and LT Associates</t>
  </si>
  <si>
    <t>Investments in Associates</t>
  </si>
  <si>
    <t>Invest in JVs &amp; Partnerships</t>
  </si>
  <si>
    <t>Due from Related Parties(LTP)</t>
  </si>
  <si>
    <t>Due from S'holder(LTP)</t>
  </si>
  <si>
    <t>Secur &amp; Other Fincl Assets(LTP)</t>
  </si>
  <si>
    <t>Accum Deprec of Financial Assets(-)</t>
  </si>
  <si>
    <t>Deriv &amp; Hedg Assets(LTP)</t>
  </si>
  <si>
    <t>Rtrmnt Plan Actuarial Surplus</t>
  </si>
  <si>
    <t>Other Non-Current Assets</t>
  </si>
  <si>
    <t>Deferred Tax Assets</t>
  </si>
  <si>
    <t>Other Receivables(LTP)</t>
  </si>
  <si>
    <t>Prepayments(LTP)</t>
  </si>
  <si>
    <t>Restricted Cash</t>
  </si>
  <si>
    <t>Operating Lease Receivables</t>
  </si>
  <si>
    <t>Land (Current)</t>
  </si>
  <si>
    <t>Developments in Progress</t>
  </si>
  <si>
    <t>Developments Finished</t>
  </si>
  <si>
    <t>Inventories raw material</t>
  </si>
  <si>
    <t>Inventories not finished</t>
  </si>
  <si>
    <t>Inventories finished</t>
  </si>
  <si>
    <t>Depreciation Inventories(-)</t>
  </si>
  <si>
    <t>Prepayments suppliers</t>
  </si>
  <si>
    <t>Total Inventories</t>
  </si>
  <si>
    <t>Due from JVs &amp; Partnerships</t>
  </si>
  <si>
    <t>Due from Related Parties(CP)</t>
  </si>
  <si>
    <t>Due from S'holder(CP)</t>
  </si>
  <si>
    <t>Short Term Securities</t>
  </si>
  <si>
    <t>Secur &amp; Other Fincl Assets(CP)</t>
  </si>
  <si>
    <t>Deriv &amp; Hedg Assets(CP)</t>
  </si>
  <si>
    <t>Assets Plgd Under Securitization</t>
  </si>
  <si>
    <t>Current Tax Receivables</t>
  </si>
  <si>
    <t>Prepayments(CP)</t>
  </si>
  <si>
    <t>Assets Related to Disc Ops</t>
  </si>
  <si>
    <t>Other Current Assets</t>
  </si>
  <si>
    <t>Cash unavailable or pledged</t>
  </si>
  <si>
    <t>Trade Receivables(Gross)</t>
  </si>
  <si>
    <t>Allow for Doubtful Accounts(-)</t>
  </si>
  <si>
    <t>Net Trade Receivables</t>
  </si>
  <si>
    <t>Subscribed Capital-Called Not Paid</t>
  </si>
  <si>
    <t>Other Receivables(CP)</t>
  </si>
  <si>
    <t>Cash Equivalents</t>
  </si>
  <si>
    <t>Cash in Hand and at Banks</t>
  </si>
  <si>
    <t>Equity &amp; Reserves</t>
  </si>
  <si>
    <t>Common Share Capital</t>
  </si>
  <si>
    <t>Pref Share Capital</t>
  </si>
  <si>
    <t>Share Premium</t>
  </si>
  <si>
    <t>Special Items with Equity Character</t>
  </si>
  <si>
    <t>Legal reserves</t>
  </si>
  <si>
    <t>Capital &amp; Restricted Reserves</t>
  </si>
  <si>
    <t>Permanent Equity</t>
  </si>
  <si>
    <t>Revaluation Reserves</t>
  </si>
  <si>
    <t>Consolidation reserves</t>
  </si>
  <si>
    <t>Other Reserves</t>
  </si>
  <si>
    <t>Retained Profits</t>
  </si>
  <si>
    <t>Treasury Shares(-)</t>
  </si>
  <si>
    <t>Forex Translation Equity</t>
  </si>
  <si>
    <t>Subordinated Debt Equity</t>
  </si>
  <si>
    <t>Deriv &amp; Hedge adjust (+/-)</t>
  </si>
  <si>
    <t>Other Equity</t>
  </si>
  <si>
    <t>Accum Oth Eqty Rsrv Inc</t>
  </si>
  <si>
    <t>Minority Interest Equity</t>
  </si>
  <si>
    <t>Deferred Income(LTP)</t>
  </si>
  <si>
    <t>Restruct Provision(LTP)</t>
  </si>
  <si>
    <t>Tax Provision(LTP)</t>
  </si>
  <si>
    <t>Pension provision(LTP)</t>
  </si>
  <si>
    <t>Other Provisions(LTP)</t>
  </si>
  <si>
    <t>LT Provisions / Deferred Revenue</t>
  </si>
  <si>
    <t>LTD Bank</t>
  </si>
  <si>
    <t>LTD Bonds</t>
  </si>
  <si>
    <t>LTD Other</t>
  </si>
  <si>
    <t>LTD Convertible</t>
  </si>
  <si>
    <t>LTD Projects</t>
  </si>
  <si>
    <t>LTD Subordinated</t>
  </si>
  <si>
    <t>Finance Leases(LTP)</t>
  </si>
  <si>
    <t>LT Banks / Bonds</t>
  </si>
  <si>
    <t>Due to Related Parties(LTP)</t>
  </si>
  <si>
    <t>Due to S'holder(LTP)</t>
  </si>
  <si>
    <t>LT Group</t>
  </si>
  <si>
    <t>Other Non-Current Liabilities</t>
  </si>
  <si>
    <t>Customer Advances(LTP)</t>
  </si>
  <si>
    <t>Deriv &amp; Hedg Liab(LTP)</t>
  </si>
  <si>
    <t>Trade Payables(LTP)</t>
  </si>
  <si>
    <t>Other Non Bank Debt (LTP)</t>
  </si>
  <si>
    <t>Soc Sec &amp; Other Taxes(LTP)</t>
  </si>
  <si>
    <t>Decomm &amp; Envir Costs(LTP)</t>
  </si>
  <si>
    <t>Share Option Costs(LTP)</t>
  </si>
  <si>
    <t>Retirement Benefits(LTP)</t>
  </si>
  <si>
    <t>Deferred Tax Liability</t>
  </si>
  <si>
    <t>Other Non Current Liabilities</t>
  </si>
  <si>
    <t>CPLTD Bank</t>
  </si>
  <si>
    <t>CPLTD Commercial</t>
  </si>
  <si>
    <t>Land Financing Bank</t>
  </si>
  <si>
    <t>Transferable Loans</t>
  </si>
  <si>
    <t>CPLTD Other</t>
  </si>
  <si>
    <t>CPLTD Convertible</t>
  </si>
  <si>
    <t>CPLTD Subordinated</t>
  </si>
  <si>
    <t>ST Bank Loans Payable</t>
  </si>
  <si>
    <t>ST Other Loans Payable</t>
  </si>
  <si>
    <t>Finance Leases(CP)</t>
  </si>
  <si>
    <t>Overdrafts</t>
  </si>
  <si>
    <t>Deriv &amp; Hedg Liab(CP)</t>
  </si>
  <si>
    <t>ST Banks / Bonds</t>
  </si>
  <si>
    <t>Due to Related Parties(CP)</t>
  </si>
  <si>
    <t>Due to S'holder(CP)</t>
  </si>
  <si>
    <t>ST Group</t>
  </si>
  <si>
    <t>Trade Payables(CP)</t>
  </si>
  <si>
    <t>Accounts Payable-Trade</t>
  </si>
  <si>
    <t>Liabilities to Enterprises</t>
  </si>
  <si>
    <t>Other Current Liabilities</t>
  </si>
  <si>
    <t>Customer Advances(CP)</t>
  </si>
  <si>
    <t>Deferred Income(CP)</t>
  </si>
  <si>
    <t>Billings in Excess of Costs</t>
  </si>
  <si>
    <t>Current Tax Payable</t>
  </si>
  <si>
    <t>Interest Payable</t>
  </si>
  <si>
    <t>Soc Sec &amp; Other Taxes(CP)</t>
  </si>
  <si>
    <t>Dividends Payable</t>
  </si>
  <si>
    <t>Notes Payable(CP)</t>
  </si>
  <si>
    <t>Decomm &amp; Envir Costs(CP)</t>
  </si>
  <si>
    <t>Share Option Costs(CP)</t>
  </si>
  <si>
    <t>Retirement Benefits(CP)</t>
  </si>
  <si>
    <t>Personnel Expenses Provision</t>
  </si>
  <si>
    <t>Restruct Provision(CP)</t>
  </si>
  <si>
    <t>Tax Provision(CP)</t>
  </si>
  <si>
    <t>Other Provisions(CP)</t>
  </si>
  <si>
    <t>Domestic sales</t>
  </si>
  <si>
    <t>Export sales</t>
  </si>
  <si>
    <t>Development Sales</t>
  </si>
  <si>
    <t>Other Operating Income</t>
  </si>
  <si>
    <t>Total Sales(Revenues)</t>
  </si>
  <si>
    <t>Changes in Inventories (+/-)</t>
  </si>
  <si>
    <t>Expenses(Own Work Capitalized)</t>
  </si>
  <si>
    <t>Cost of Sales (-)</t>
  </si>
  <si>
    <t>Goods &amp; Services (-)</t>
  </si>
  <si>
    <t>Material Expenses (-)</t>
  </si>
  <si>
    <t>Total Cost of Sales (-)</t>
  </si>
  <si>
    <t>Gross Profit</t>
  </si>
  <si>
    <t>Rents &amp; Royalty Income</t>
  </si>
  <si>
    <t>Other recurring non operating income adjustment</t>
  </si>
  <si>
    <t>Grants &amp; Subsidies</t>
  </si>
  <si>
    <t>Selling &amp; Marketing Expenses (-)</t>
  </si>
  <si>
    <t>General &amp; Admin Expenses (-)</t>
  </si>
  <si>
    <t>Personnel &amp; Benefit Expenses (-)</t>
  </si>
  <si>
    <t>Officers Compensation (-)</t>
  </si>
  <si>
    <t>Operating Lease &amp; Rent Expenses (-)</t>
  </si>
  <si>
    <t>Research &amp; Development (-)</t>
  </si>
  <si>
    <t>Restructuring Costs (-)</t>
  </si>
  <si>
    <t>Other Operating Expenses (-)</t>
  </si>
  <si>
    <t>Bad Debt Expense (-)</t>
  </si>
  <si>
    <t>Prov for Retirement Costs (-)</t>
  </si>
  <si>
    <t>Share Option Costs (-)</t>
  </si>
  <si>
    <t>Other Taxes (-)</t>
  </si>
  <si>
    <t>Other Oper Exp(Provisions) (-)</t>
  </si>
  <si>
    <t>Deprec &amp; Impairment(Oper Exp) (-)</t>
  </si>
  <si>
    <t>Deprec &amp; Impairment(COS) (-)</t>
  </si>
  <si>
    <t>Impairment of inventories (-)</t>
  </si>
  <si>
    <t>Amort &amp; Impairment(Intgbl) (-)</t>
  </si>
  <si>
    <t>Goodwill Amortization (-)</t>
  </si>
  <si>
    <t>Capitalized Costs (-)</t>
  </si>
  <si>
    <t>Net Operating Profit</t>
  </si>
  <si>
    <t>Interest Income</t>
  </si>
  <si>
    <t>Interest Expense(-)</t>
  </si>
  <si>
    <t>Other Debt Service Expenses(-)</t>
  </si>
  <si>
    <t>Deferred Interest Expense(-)</t>
  </si>
  <si>
    <t>Net Interest Income(Expense)</t>
  </si>
  <si>
    <t>Other Fncl Asset Income(Dvds)</t>
  </si>
  <si>
    <t>Gain(Loss) on Fncl Assets</t>
  </si>
  <si>
    <t>Adjsts to Scrtzn Programs</t>
  </si>
  <si>
    <t>Rlzd Forex Translation G(L)</t>
  </si>
  <si>
    <t>FMV Adj on Fncl Assets</t>
  </si>
  <si>
    <t>Net Other Financial Inc(Exp)</t>
  </si>
  <si>
    <t>Gain(Loss) Disp of Fixed Assets</t>
  </si>
  <si>
    <t>Gain(Loss) on Invest Properties</t>
  </si>
  <si>
    <t>Gain(Loss) Disp of Disc Ops</t>
  </si>
  <si>
    <t>Exchange Gain(Loss)</t>
  </si>
  <si>
    <t>Exchange Gain(Loss) Sale of Bus</t>
  </si>
  <si>
    <t>Other Non-Income Related Taxes (-)</t>
  </si>
  <si>
    <t>Other Non-Operating Inc(Exp)</t>
  </si>
  <si>
    <t>Other Non-Oper Inc(Exp)(NC)</t>
  </si>
  <si>
    <t>Monetary position Inc(Exp)</t>
  </si>
  <si>
    <t>Other Income(Expense)</t>
  </si>
  <si>
    <t>Income(Loss) from Related Party</t>
  </si>
  <si>
    <t>Income(Loss) from Joint Ventures</t>
  </si>
  <si>
    <t>Profit(Loss) Before Tax</t>
  </si>
  <si>
    <t>Current Income Taxes (-)</t>
  </si>
  <si>
    <t>Deferred Income Taxes(NC) (-)</t>
  </si>
  <si>
    <t>Prior Year Tax Adj (-)</t>
  </si>
  <si>
    <t>Total Income Tax</t>
  </si>
  <si>
    <t>Profit(Loss) Bef Extraord Items</t>
  </si>
  <si>
    <t>Profit from discontinued operations</t>
  </si>
  <si>
    <t>Profit from discontinued operations (NC)</t>
  </si>
  <si>
    <t>Minority Interests</t>
  </si>
  <si>
    <t>date</t>
  </si>
  <si>
    <t>usdtry</t>
  </si>
  <si>
    <t>eurtry</t>
  </si>
  <si>
    <t>tcmb_policy_rate</t>
  </si>
  <si>
    <t>hh_inflation_yoy</t>
  </si>
  <si>
    <t>Paste your columns directly into B–E. Dates are pre-filled (monthly).</t>
  </si>
  <si>
    <t>USD_Avg</t>
  </si>
  <si>
    <t>Yıl</t>
  </si>
  <si>
    <t>USD_End</t>
  </si>
  <si>
    <t>Q1</t>
  </si>
  <si>
    <t>Q3</t>
  </si>
  <si>
    <t>IQR</t>
  </si>
  <si>
    <t>Alt Sınır</t>
  </si>
  <si>
    <t>Üst Sınır</t>
  </si>
  <si>
    <t>adet veri var</t>
  </si>
  <si>
    <t>outlier sayısı (adet)</t>
  </si>
  <si>
    <t>outlier (%) (adet)</t>
  </si>
  <si>
    <t>outlier olan tutarların toplamı</t>
  </si>
  <si>
    <t>tüm verilerin toplamı</t>
  </si>
  <si>
    <t>"Analiz sonucunda verinin %7.1'i (adet bazında) aykırı bulunmuş, ancak bu aykırı değerlerin toplam parasal hacme etkisi (Materiality) sadece %3.8 ile sınırlı kalmıştır. Bu da uygulanan Winsorization yönteminin finansal tablonun ana gövdesini bozmadan, sadece uçlardaki gürültüyü temizlediğini göstermektedir."</t>
  </si>
  <si>
    <t>Parasal Oran</t>
  </si>
  <si>
    <r>
      <t>Buna literatürde </t>
    </r>
    <r>
      <rPr>
        <b/>
        <sz val="10"/>
        <color rgb="FF000000"/>
        <rFont val="Arial"/>
        <family val="2"/>
        <charset val="162"/>
      </rPr>
      <t>"Currency Adjustment for Outlier Detection"</t>
    </r>
    <r>
      <rPr>
        <sz val="10"/>
        <color rgb="FF000000"/>
        <rFont val="-webkit-standard"/>
      </rPr>
      <t> (Döviz Ayarlamalı Aykırı Değer Tespiti) denir.</t>
    </r>
  </si>
  <si>
    <t>Tezin "Metodoloji" Kısmına Yazılacak Metin</t>
  </si>
  <si>
    <t>Bunu akademik dille şöyle ifade etmelisin:</t>
  </si>
  <si>
    <r>
      <t>"Veri setindeki aykırı değerlerin (outliers) tespiti aşamasında, Türkiye ekonomisindeki yüksek enflasyonist etkinin, nominal değerlerde yanıltıcı varyans (pseudo-variance) yaratmasını engellemek amacıyla </t>
    </r>
    <r>
      <rPr>
        <b/>
        <sz val="10"/>
        <color rgb="FF000000"/>
        <rFont val="Arial"/>
        <family val="2"/>
        <charset val="162"/>
      </rPr>
      <t>'Domain Transformation'</t>
    </r>
    <r>
      <rPr>
        <sz val="10"/>
        <color rgb="FF000000"/>
        <rFont val="Arial"/>
        <family val="2"/>
        <charset val="162"/>
      </rPr>
      <t> yöntemi uygulanmıştır.</t>
    </r>
  </si>
  <si>
    <t>Veriler günlük kur üzerinden USD'ye dönüştürülerek enflasyondan arındırılmış (detrended),</t>
  </si>
  <si>
    <r>
      <t>Bu reel değerler üzerinde </t>
    </r>
    <r>
      <rPr>
        <b/>
        <sz val="10"/>
        <color rgb="FF000000"/>
        <rFont val="Arial"/>
        <family val="2"/>
        <charset val="162"/>
      </rPr>
      <t>3-IQR Winsorization</t>
    </r>
    <r>
      <rPr>
        <sz val="10"/>
        <color rgb="FF000000"/>
        <rFont val="Arial"/>
        <family val="2"/>
        <charset val="162"/>
      </rPr>
      <t> (sınırlama) uygulanmış,</t>
    </r>
  </si>
  <si>
    <t>Temizlenen veriler tekrar ilgili tarihlerin kurları ile çarpılarak orijinal para birimine (TRY) geri döndürülmüştür.</t>
  </si>
  <si>
    <t>Bu sayede enflasyonist trend korunmuş, ancak yapısal aykırı değerler temizlenmiştir."</t>
  </si>
  <si>
    <t>bu sheet'teki veriler modelde kullanılacak</t>
  </si>
  <si>
    <t>Genel tabloda toplam 2240 hücrenin 73 tanesi değişmiş; bunun 68’i üst sınır, 3’ü alt sınır kırpması.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</si>
</sst>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(* #,##0.00_);_(* \(#,##0.00\);_(* &quot;-&quot;??_);_(@_)"/>
    <numFmt numFmtId="165" formatCode="yyyy\-mm\-dd"/>
    <numFmt numFmtId="166" formatCode="#,##0.0000"/>
    <numFmt numFmtId="167" formatCode="0.0000"/>
    <numFmt numFmtId="168" formatCode="yyyy\-mm"/>
    <numFmt numFmtId="169" formatCode="_-* #,##0_-;\-* #,##0_-;_-* &quot;-&quot;??_-;_-@_-"/>
    <numFmt numFmtId="170" formatCode="0.0%"/>
  </numFmts>
  <fonts count="17">
    <font>
      <sz val="10"/>
      <name val="Arial"/>
      <family val="2"/>
      <charset val="162"/>
    </font>
    <font>
      <sz val="10"/>
      <name val="Arial"/>
      <family val="2"/>
      <charset val="162"/>
    </font>
    <font>
      <sz val="10"/>
      <color indexed="63"/>
      <name val="Arial"/>
      <family val="2"/>
    </font>
    <font>
      <sz val="11"/>
      <color indexed="60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666666"/>
      <name val="Calibri"/>
      <family val="2"/>
      <scheme val="minor"/>
    </font>
    <font>
      <sz val="10"/>
      <color rgb="FF000000"/>
      <name val="Arial Unicode MS"/>
      <family val="2"/>
    </font>
    <font>
      <b/>
      <sz val="10"/>
      <name val="Arial"/>
      <family val="2"/>
    </font>
    <font>
      <b/>
      <sz val="10"/>
      <color rgb="FF000000"/>
      <name val="Arial"/>
      <family val="2"/>
      <charset val="162"/>
    </font>
    <font>
      <sz val="10"/>
      <color rgb="FF000000"/>
      <name val="-webkit-standard"/>
    </font>
    <font>
      <b/>
      <sz val="13.5"/>
      <color rgb="FF000000"/>
      <name val="Arial"/>
      <family val="2"/>
      <charset val="162"/>
    </font>
    <font>
      <sz val="10"/>
      <color rgb="FF000000"/>
      <name val="Arial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43"/>
      </patternFill>
    </fill>
    <fill>
      <patternFill patternType="solid">
        <fgColor rgb="FFF2F2F2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5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3" fontId="1" fillId="0" borderId="0"/>
    <xf numFmtId="3" fontId="1" fillId="0" borderId="0"/>
    <xf numFmtId="3" fontId="1" fillId="0" borderId="0"/>
    <xf numFmtId="3" fontId="1" fillId="0" borderId="0"/>
    <xf numFmtId="3" fontId="1" fillId="0" borderId="0"/>
    <xf numFmtId="3" fontId="1" fillId="0" borderId="0"/>
    <xf numFmtId="3" fontId="1" fillId="0" borderId="0"/>
    <xf numFmtId="3" fontId="1" fillId="0" borderId="0"/>
    <xf numFmtId="3" fontId="1" fillId="0" borderId="0"/>
    <xf numFmtId="3" fontId="1" fillId="0" borderId="0"/>
    <xf numFmtId="0" fontId="1" fillId="0" borderId="0"/>
    <xf numFmtId="0" fontId="1" fillId="0" borderId="0"/>
    <xf numFmtId="3" fontId="1" fillId="0" borderId="0"/>
    <xf numFmtId="3" fontId="1" fillId="0" borderId="0"/>
    <xf numFmtId="3" fontId="1" fillId="0" borderId="0"/>
    <xf numFmtId="3" fontId="1" fillId="0" borderId="0"/>
    <xf numFmtId="3" fontId="1" fillId="0" borderId="0"/>
    <xf numFmtId="3" fontId="1" fillId="0" borderId="0"/>
    <xf numFmtId="3" fontId="1" fillId="0" borderId="0"/>
    <xf numFmtId="3" fontId="1" fillId="0" borderId="0"/>
    <xf numFmtId="3" fontId="1" fillId="0" borderId="0"/>
    <xf numFmtId="3" fontId="1" fillId="0" borderId="0"/>
    <xf numFmtId="0" fontId="4" fillId="0" borderId="0"/>
    <xf numFmtId="3" fontId="1" fillId="0" borderId="0"/>
    <xf numFmtId="3" fontId="1" fillId="0" borderId="0"/>
    <xf numFmtId="3" fontId="1" fillId="0" borderId="0"/>
    <xf numFmtId="3" fontId="1" fillId="0" borderId="0"/>
    <xf numFmtId="3" fontId="1" fillId="0" borderId="0"/>
    <xf numFmtId="3" fontId="1" fillId="0" borderId="0"/>
    <xf numFmtId="3" fontId="1" fillId="0" borderId="0"/>
    <xf numFmtId="3" fontId="1" fillId="0" borderId="0"/>
    <xf numFmtId="3" fontId="1" fillId="0" borderId="0"/>
    <xf numFmtId="3" fontId="1" fillId="0" borderId="0"/>
    <xf numFmtId="0" fontId="1" fillId="0" borderId="0"/>
    <xf numFmtId="3" fontId="1" fillId="0" borderId="0"/>
    <xf numFmtId="3" fontId="1" fillId="0" borderId="0"/>
    <xf numFmtId="3" fontId="1" fillId="0" borderId="0"/>
    <xf numFmtId="3" fontId="1" fillId="0" borderId="0"/>
    <xf numFmtId="3" fontId="1" fillId="0" borderId="0"/>
    <xf numFmtId="3" fontId="1" fillId="0" borderId="0"/>
    <xf numFmtId="3" fontId="1" fillId="0" borderId="0"/>
    <xf numFmtId="3" fontId="1" fillId="0" borderId="0"/>
    <xf numFmtId="3" fontId="1" fillId="0" borderId="0"/>
    <xf numFmtId="3" fontId="1" fillId="0" borderId="0"/>
    <xf numFmtId="0" fontId="4" fillId="0" borderId="0"/>
    <xf numFmtId="3" fontId="1" fillId="0" borderId="0"/>
    <xf numFmtId="3" fontId="1" fillId="0" borderId="0"/>
    <xf numFmtId="0" fontId="4" fillId="0" borderId="0"/>
    <xf numFmtId="0" fontId="4" fillId="0" borderId="0"/>
    <xf numFmtId="3" fontId="1" fillId="0" borderId="0"/>
    <xf numFmtId="0" fontId="4" fillId="0" borderId="0"/>
    <xf numFmtId="0" fontId="4" fillId="0" borderId="0"/>
    <xf numFmtId="0" fontId="4" fillId="0" borderId="0"/>
    <xf numFmtId="0" fontId="5" fillId="0" borderId="1" applyNumberFormat="0" applyFill="0" applyAlignment="0" applyProtection="0"/>
    <xf numFmtId="43" fontId="1" fillId="0" borderId="0" applyFont="0" applyFill="0" applyBorder="0" applyAlignment="0" applyProtection="0"/>
    <xf numFmtId="0" fontId="8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0" fillId="3" borderId="0" xfId="0" applyFill="1" applyAlignment="1">
      <alignment horizontal="left"/>
    </xf>
    <xf numFmtId="3" fontId="0" fillId="3" borderId="0" xfId="0" applyNumberFormat="1" applyFill="1"/>
    <xf numFmtId="3" fontId="0" fillId="0" borderId="0" xfId="0" applyNumberFormat="1"/>
    <xf numFmtId="3" fontId="0" fillId="2" borderId="0" xfId="0" applyNumberFormat="1" applyFill="1"/>
    <xf numFmtId="0" fontId="0" fillId="3" borderId="0" xfId="0" applyFill="1" applyAlignment="1">
      <alignment horizontal="left" indent="2"/>
    </xf>
    <xf numFmtId="0" fontId="7" fillId="0" borderId="0" xfId="0" applyFont="1"/>
    <xf numFmtId="0" fontId="6" fillId="0" borderId="0" xfId="0" applyFont="1"/>
    <xf numFmtId="0" fontId="9" fillId="0" borderId="2" xfId="63" applyFont="1" applyBorder="1" applyAlignment="1">
      <alignment horizontal="center" vertical="top"/>
    </xf>
    <xf numFmtId="0" fontId="10" fillId="0" borderId="0" xfId="63" applyFont="1"/>
    <xf numFmtId="0" fontId="9" fillId="5" borderId="2" xfId="63" applyFont="1" applyFill="1" applyBorder="1"/>
    <xf numFmtId="165" fontId="8" fillId="0" borderId="0" xfId="63" applyNumberFormat="1"/>
    <xf numFmtId="166" fontId="8" fillId="0" borderId="0" xfId="63" applyNumberFormat="1"/>
    <xf numFmtId="167" fontId="8" fillId="0" borderId="0" xfId="63" applyNumberFormat="1"/>
    <xf numFmtId="0" fontId="8" fillId="0" borderId="0" xfId="63"/>
    <xf numFmtId="168" fontId="8" fillId="0" borderId="0" xfId="63" applyNumberFormat="1"/>
    <xf numFmtId="2" fontId="8" fillId="0" borderId="0" xfId="63" applyNumberFormat="1"/>
    <xf numFmtId="2" fontId="6" fillId="0" borderId="0" xfId="0" applyNumberFormat="1" applyFont="1"/>
    <xf numFmtId="169" fontId="0" fillId="0" borderId="0" xfId="62" applyNumberFormat="1" applyFont="1"/>
    <xf numFmtId="169" fontId="11" fillId="0" borderId="0" xfId="0" applyNumberFormat="1" applyFont="1"/>
    <xf numFmtId="0" fontId="12" fillId="6" borderId="0" xfId="0" applyFont="1" applyFill="1"/>
    <xf numFmtId="169" fontId="0" fillId="0" borderId="0" xfId="0" applyNumberFormat="1"/>
    <xf numFmtId="10" fontId="0" fillId="0" borderId="0" xfId="64" applyNumberFormat="1" applyFont="1"/>
    <xf numFmtId="0" fontId="12" fillId="0" borderId="0" xfId="0" applyFont="1"/>
    <xf numFmtId="169" fontId="12" fillId="0" borderId="0" xfId="0" applyNumberFormat="1" applyFont="1"/>
    <xf numFmtId="170" fontId="12" fillId="0" borderId="0" xfId="64" applyNumberFormat="1" applyFont="1"/>
    <xf numFmtId="0" fontId="15" fillId="0" borderId="0" xfId="0" applyFont="1"/>
    <xf numFmtId="0" fontId="16" fillId="0" borderId="0" xfId="0" applyFont="1"/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65">
    <cellStyle name="Comma 2" xfId="1" xr:uid="{00000000-0005-0000-0000-000000000000}"/>
    <cellStyle name="Comma 3" xfId="2" xr:uid="{00000000-0005-0000-0000-000001000000}"/>
    <cellStyle name="Millares_Hoja de cálculo en Detalle Cuentas Moodys v.1.1" xfId="3" xr:uid="{00000000-0005-0000-0000-000002000000}"/>
    <cellStyle name="Neutral 2" xfId="4" xr:uid="{00000000-0005-0000-0000-000003000000}"/>
    <cellStyle name="Normal" xfId="0" builtinId="0"/>
    <cellStyle name="Normal 10" xfId="5" xr:uid="{00000000-0005-0000-0000-000005000000}"/>
    <cellStyle name="Normal 10 2" xfId="6" xr:uid="{00000000-0005-0000-0000-000006000000}"/>
    <cellStyle name="Normal 10_BBVAMMAS3" xfId="7" xr:uid="{00000000-0005-0000-0000-000007000000}"/>
    <cellStyle name="Normal 11" xfId="8" xr:uid="{00000000-0005-0000-0000-000008000000}"/>
    <cellStyle name="Normal 12" xfId="9" xr:uid="{00000000-0005-0000-0000-000009000000}"/>
    <cellStyle name="Normal 13" xfId="10" xr:uid="{00000000-0005-0000-0000-00000A000000}"/>
    <cellStyle name="Normal 14" xfId="11" xr:uid="{00000000-0005-0000-0000-00000B000000}"/>
    <cellStyle name="Normal 15" xfId="12" xr:uid="{00000000-0005-0000-0000-00000C000000}"/>
    <cellStyle name="Normal 16" xfId="13" xr:uid="{00000000-0005-0000-0000-00000D000000}"/>
    <cellStyle name="Normal 17" xfId="14" xr:uid="{00000000-0005-0000-0000-00000E000000}"/>
    <cellStyle name="Normal 18" xfId="15" xr:uid="{00000000-0005-0000-0000-00000F000000}"/>
    <cellStyle name="Normal 19" xfId="16" xr:uid="{00000000-0005-0000-0000-000010000000}"/>
    <cellStyle name="Normal 2" xfId="17" xr:uid="{00000000-0005-0000-0000-000011000000}"/>
    <cellStyle name="Normal 2 2" xfId="18" xr:uid="{00000000-0005-0000-0000-000012000000}"/>
    <cellStyle name="Normal 2_BBVAMMAS3" xfId="19" xr:uid="{00000000-0005-0000-0000-000013000000}"/>
    <cellStyle name="Normal 20" xfId="20" xr:uid="{00000000-0005-0000-0000-000014000000}"/>
    <cellStyle name="Normal 21" xfId="21" xr:uid="{00000000-0005-0000-0000-000015000000}"/>
    <cellStyle name="Normal 22" xfId="22" xr:uid="{00000000-0005-0000-0000-000016000000}"/>
    <cellStyle name="Normal 23" xfId="23" xr:uid="{00000000-0005-0000-0000-000017000000}"/>
    <cellStyle name="Normal 24" xfId="24" xr:uid="{00000000-0005-0000-0000-000018000000}"/>
    <cellStyle name="Normal 25" xfId="25" xr:uid="{00000000-0005-0000-0000-000019000000}"/>
    <cellStyle name="Normal 26" xfId="26" xr:uid="{00000000-0005-0000-0000-00001A000000}"/>
    <cellStyle name="Normal 27" xfId="27" xr:uid="{00000000-0005-0000-0000-00001B000000}"/>
    <cellStyle name="Normal 28" xfId="28" xr:uid="{00000000-0005-0000-0000-00001C000000}"/>
    <cellStyle name="Normal 29" xfId="29" xr:uid="{00000000-0005-0000-0000-00001D000000}"/>
    <cellStyle name="Normal 3" xfId="30" xr:uid="{00000000-0005-0000-0000-00001E000000}"/>
    <cellStyle name="Normal 30" xfId="31" xr:uid="{00000000-0005-0000-0000-00001F000000}"/>
    <cellStyle name="Normal 31" xfId="32" xr:uid="{00000000-0005-0000-0000-000020000000}"/>
    <cellStyle name="Normal 32" xfId="33" xr:uid="{00000000-0005-0000-0000-000021000000}"/>
    <cellStyle name="Normal 33" xfId="34" xr:uid="{00000000-0005-0000-0000-000022000000}"/>
    <cellStyle name="Normal 34" xfId="35" xr:uid="{00000000-0005-0000-0000-000023000000}"/>
    <cellStyle name="Normal 35" xfId="36" xr:uid="{00000000-0005-0000-0000-000024000000}"/>
    <cellStyle name="Normal 36" xfId="37" xr:uid="{00000000-0005-0000-0000-000025000000}"/>
    <cellStyle name="Normal 37" xfId="38" xr:uid="{00000000-0005-0000-0000-000026000000}"/>
    <cellStyle name="Normal 38" xfId="39" xr:uid="{00000000-0005-0000-0000-000027000000}"/>
    <cellStyle name="Normal 39" xfId="40" xr:uid="{00000000-0005-0000-0000-000028000000}"/>
    <cellStyle name="Normal 4" xfId="41" xr:uid="{00000000-0005-0000-0000-000029000000}"/>
    <cellStyle name="Normal 40" xfId="42" xr:uid="{00000000-0005-0000-0000-00002A000000}"/>
    <cellStyle name="Normal 41" xfId="43" xr:uid="{00000000-0005-0000-0000-00002B000000}"/>
    <cellStyle name="Normal 42" xfId="44" xr:uid="{00000000-0005-0000-0000-00002C000000}"/>
    <cellStyle name="Normal 43" xfId="45" xr:uid="{00000000-0005-0000-0000-00002D000000}"/>
    <cellStyle name="Normal 44" xfId="46" xr:uid="{00000000-0005-0000-0000-00002E000000}"/>
    <cellStyle name="Normal 45" xfId="47" xr:uid="{00000000-0005-0000-0000-00002F000000}"/>
    <cellStyle name="Normal 46" xfId="48" xr:uid="{00000000-0005-0000-0000-000030000000}"/>
    <cellStyle name="Normal 47" xfId="49" xr:uid="{00000000-0005-0000-0000-000031000000}"/>
    <cellStyle name="Normal 48" xfId="50" xr:uid="{00000000-0005-0000-0000-000032000000}"/>
    <cellStyle name="Normal 49" xfId="51" xr:uid="{00000000-0005-0000-0000-000033000000}"/>
    <cellStyle name="Normal 5" xfId="52" xr:uid="{00000000-0005-0000-0000-000034000000}"/>
    <cellStyle name="Normal 50" xfId="53" xr:uid="{00000000-0005-0000-0000-000035000000}"/>
    <cellStyle name="Normal 51" xfId="54" xr:uid="{00000000-0005-0000-0000-000036000000}"/>
    <cellStyle name="Normal 52" xfId="63" xr:uid="{BD983691-DDF4-624E-A60C-026299F821FE}"/>
    <cellStyle name="Normal 6" xfId="55" xr:uid="{00000000-0005-0000-0000-000037000000}"/>
    <cellStyle name="Normal 7" xfId="56" xr:uid="{00000000-0005-0000-0000-000038000000}"/>
    <cellStyle name="Normal 8" xfId="57" xr:uid="{00000000-0005-0000-0000-000039000000}"/>
    <cellStyle name="Normal 9" xfId="58" xr:uid="{00000000-0005-0000-0000-00003A000000}"/>
    <cellStyle name="Normal 9 2" xfId="59" xr:uid="{00000000-0005-0000-0000-00003B000000}"/>
    <cellStyle name="Normal 9_BBVAIFT3_Detalle Balance_Num Cuenta" xfId="60" xr:uid="{00000000-0005-0000-0000-00003C000000}"/>
    <cellStyle name="Total 2" xfId="61" xr:uid="{00000000-0005-0000-0000-00003D000000}"/>
    <cellStyle name="Virgül" xfId="62" builtinId="3"/>
    <cellStyle name="Yüzde" xfId="64" builtinId="5"/>
  </cellStyles>
  <dxfs count="4">
    <dxf>
      <fill>
        <patternFill>
          <bgColor rgb="FFFFF2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5"/>
  <sheetViews>
    <sheetView topLeftCell="A172" zoomScale="125" zoomScaleNormal="125" workbookViewId="0">
      <selection activeCell="C184" sqref="C184"/>
    </sheetView>
  </sheetViews>
  <sheetFormatPr baseColWidth="10" defaultColWidth="8.83203125" defaultRowHeight="13"/>
  <cols>
    <col min="1" max="1" width="48.5" bestFit="1" customWidth="1"/>
    <col min="2" max="11" width="16.1640625" bestFit="1" customWidth="1"/>
    <col min="12" max="247" width="11.5" customWidth="1"/>
  </cols>
  <sheetData>
    <row r="1" spans="1:11">
      <c r="B1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</row>
    <row r="2" spans="1:11">
      <c r="A2" s="1" t="s">
        <v>0</v>
      </c>
      <c r="B2" s="2">
        <v>12</v>
      </c>
      <c r="C2" s="2">
        <v>12</v>
      </c>
      <c r="D2" s="2">
        <v>12</v>
      </c>
      <c r="E2" s="2">
        <v>12</v>
      </c>
      <c r="F2" s="2">
        <v>12</v>
      </c>
      <c r="G2" s="2">
        <v>12</v>
      </c>
      <c r="H2" s="2">
        <v>12</v>
      </c>
      <c r="I2" s="2">
        <v>12</v>
      </c>
      <c r="J2" s="2">
        <v>12</v>
      </c>
      <c r="K2" s="2">
        <v>12</v>
      </c>
    </row>
    <row r="3" spans="1:11">
      <c r="A3" s="3" t="s">
        <v>1</v>
      </c>
      <c r="B3" s="4">
        <f t="shared" ref="B3:K3" si="0">B22+B32+SUM(B33:B38)+SUM(B40:B46)-B39</f>
        <v>948303.31700000004</v>
      </c>
      <c r="C3" s="4">
        <f t="shared" si="0"/>
        <v>1132571.075</v>
      </c>
      <c r="D3" s="4">
        <f t="shared" si="0"/>
        <v>1321849.2600000002</v>
      </c>
      <c r="E3" s="4">
        <f t="shared" si="0"/>
        <v>1666215.0980000002</v>
      </c>
      <c r="F3" s="4">
        <f t="shared" si="0"/>
        <v>2243152.8729999997</v>
      </c>
      <c r="G3" s="4">
        <f t="shared" si="0"/>
        <v>2519903.1029999997</v>
      </c>
      <c r="H3" s="4">
        <f t="shared" si="0"/>
        <v>3184127.9720000001</v>
      </c>
      <c r="I3" s="4">
        <f t="shared" si="0"/>
        <v>10090609.839000002</v>
      </c>
      <c r="J3" s="4">
        <f t="shared" si="0"/>
        <v>17149860.627</v>
      </c>
      <c r="K3" s="4">
        <f t="shared" si="0"/>
        <v>24234703.974999998</v>
      </c>
    </row>
    <row r="4" spans="1:11">
      <c r="A4" s="3" t="s">
        <v>2</v>
      </c>
      <c r="B4" s="4">
        <f t="shared" ref="B4:K4" si="1">B56+B71+SUM(B57:B68)+SUM(B72:B75)</f>
        <v>165868.97600000002</v>
      </c>
      <c r="C4" s="4">
        <f t="shared" si="1"/>
        <v>174481.95300000001</v>
      </c>
      <c r="D4" s="4">
        <f t="shared" si="1"/>
        <v>188553.524</v>
      </c>
      <c r="E4" s="4">
        <f t="shared" si="1"/>
        <v>226511.51500000001</v>
      </c>
      <c r="F4" s="4">
        <f t="shared" si="1"/>
        <v>237941.09999999998</v>
      </c>
      <c r="G4" s="4">
        <f t="shared" si="1"/>
        <v>438016.49300000002</v>
      </c>
      <c r="H4" s="4">
        <f t="shared" si="1"/>
        <v>443279.054</v>
      </c>
      <c r="I4" s="4">
        <f t="shared" si="1"/>
        <v>2104055.3489999999</v>
      </c>
      <c r="J4" s="4">
        <f t="shared" si="1"/>
        <v>3104576.1110000005</v>
      </c>
      <c r="K4" s="4">
        <f t="shared" si="1"/>
        <v>6510695.0109999999</v>
      </c>
    </row>
    <row r="5" spans="1:11">
      <c r="A5" s="3" t="s">
        <v>3</v>
      </c>
      <c r="B5" s="4">
        <f t="shared" ref="B5:K5" si="2">+B82+B93+B94</f>
        <v>-18816.878999999994</v>
      </c>
      <c r="C5" s="4">
        <f t="shared" si="2"/>
        <v>-6374.9640000000072</v>
      </c>
      <c r="D5" s="4">
        <f t="shared" si="2"/>
        <v>-11517.087999999989</v>
      </c>
      <c r="E5" s="4">
        <f t="shared" si="2"/>
        <v>-13802.035999999993</v>
      </c>
      <c r="F5" s="4">
        <f t="shared" si="2"/>
        <v>41655.046000000002</v>
      </c>
      <c r="G5" s="4">
        <f t="shared" si="2"/>
        <v>16267.904999999999</v>
      </c>
      <c r="H5" s="4">
        <f t="shared" si="2"/>
        <v>12877.40400000001</v>
      </c>
      <c r="I5" s="4">
        <f t="shared" si="2"/>
        <v>5810755.8700000001</v>
      </c>
      <c r="J5" s="4">
        <f t="shared" si="2"/>
        <v>10803126.855</v>
      </c>
      <c r="K5" s="4">
        <f t="shared" si="2"/>
        <v>17097795.476</v>
      </c>
    </row>
    <row r="6" spans="1:11">
      <c r="A6" s="3" t="s">
        <v>4</v>
      </c>
      <c r="B6" s="4">
        <f t="shared" ref="B6:K6" si="3">+B100+B108+B111+B122</f>
        <v>949085.86500000011</v>
      </c>
      <c r="C6" s="4">
        <f t="shared" si="3"/>
        <v>1047559.157</v>
      </c>
      <c r="D6" s="4">
        <f t="shared" si="3"/>
        <v>1145402.8599999999</v>
      </c>
      <c r="E6" s="4">
        <f t="shared" si="3"/>
        <v>1379534.06</v>
      </c>
      <c r="F6" s="4">
        <f t="shared" si="3"/>
        <v>1935837.3820000002</v>
      </c>
      <c r="G6" s="4">
        <f t="shared" si="3"/>
        <v>2250777.5290000001</v>
      </c>
      <c r="H6" s="4">
        <f t="shared" si="3"/>
        <v>2512094.9310000003</v>
      </c>
      <c r="I6" s="4">
        <f t="shared" si="3"/>
        <v>3259756.3730000001</v>
      </c>
      <c r="J6" s="4">
        <f t="shared" si="3"/>
        <v>5322307.341</v>
      </c>
      <c r="K6" s="4">
        <f t="shared" si="3"/>
        <v>11149770.408000002</v>
      </c>
    </row>
    <row r="7" spans="1:11">
      <c r="A7" s="3" t="s">
        <v>5</v>
      </c>
      <c r="B7" s="4">
        <f t="shared" ref="B7:K7" si="4">+B135+B138+B140+B158</f>
        <v>177777.95400000003</v>
      </c>
      <c r="C7" s="4">
        <f t="shared" si="4"/>
        <v>265868.83499999996</v>
      </c>
      <c r="D7" s="4">
        <f t="shared" si="4"/>
        <v>376517.01699999999</v>
      </c>
      <c r="E7" s="4">
        <f t="shared" si="4"/>
        <v>526994.59000000008</v>
      </c>
      <c r="F7" s="4">
        <f t="shared" si="4"/>
        <v>503601.54700000002</v>
      </c>
      <c r="G7" s="4">
        <f t="shared" si="4"/>
        <v>690874.16500000004</v>
      </c>
      <c r="H7" s="4">
        <f t="shared" si="4"/>
        <v>1102434.6970000002</v>
      </c>
      <c r="I7" s="4">
        <f t="shared" si="4"/>
        <v>3124152.9510000004</v>
      </c>
      <c r="J7" s="4">
        <f t="shared" si="4"/>
        <v>4129002.5439999998</v>
      </c>
      <c r="K7" s="4">
        <f t="shared" si="4"/>
        <v>2497833.108</v>
      </c>
    </row>
    <row r="8" spans="1:11">
      <c r="A8" s="3" t="s">
        <v>6</v>
      </c>
      <c r="B8" s="4">
        <f t="shared" ref="B8:K8" si="5">+B222+SUM(B223:B225)</f>
        <v>284286.326</v>
      </c>
      <c r="C8" s="4">
        <f t="shared" si="5"/>
        <v>-72133.791999999972</v>
      </c>
      <c r="D8" s="4">
        <f t="shared" si="5"/>
        <v>-7653.7299999999959</v>
      </c>
      <c r="E8" s="4">
        <f t="shared" si="5"/>
        <v>-2785.8979999999719</v>
      </c>
      <c r="F8" s="4">
        <f t="shared" si="5"/>
        <v>15228.111999999965</v>
      </c>
      <c r="G8" s="4">
        <f t="shared" si="5"/>
        <v>-150451.33700000006</v>
      </c>
      <c r="H8" s="4">
        <f t="shared" si="5"/>
        <v>-16279.272999999812</v>
      </c>
      <c r="I8" s="4">
        <f t="shared" si="5"/>
        <v>167380.89500000011</v>
      </c>
      <c r="J8" s="4">
        <f t="shared" si="5"/>
        <v>-65447.217999999644</v>
      </c>
      <c r="K8" s="4">
        <f t="shared" si="5"/>
        <v>1111728.1079999995</v>
      </c>
    </row>
    <row r="9" spans="1:11">
      <c r="A9" s="5" t="s">
        <v>7</v>
      </c>
      <c r="B9" s="5">
        <f t="shared" ref="B9:K9" si="6">+B3+B4</f>
        <v>1114172.2930000001</v>
      </c>
      <c r="C9" s="5">
        <f t="shared" si="6"/>
        <v>1307053.0279999999</v>
      </c>
      <c r="D9" s="5">
        <f t="shared" si="6"/>
        <v>1510402.7840000002</v>
      </c>
      <c r="E9" s="5">
        <f t="shared" si="6"/>
        <v>1892726.6130000004</v>
      </c>
      <c r="F9" s="5">
        <f t="shared" si="6"/>
        <v>2481093.9729999998</v>
      </c>
      <c r="G9" s="5">
        <f t="shared" si="6"/>
        <v>2957919.5959999999</v>
      </c>
      <c r="H9" s="5">
        <f t="shared" si="6"/>
        <v>3627407.0260000001</v>
      </c>
      <c r="I9" s="5">
        <f t="shared" si="6"/>
        <v>12194665.188000001</v>
      </c>
      <c r="J9" s="5">
        <f t="shared" si="6"/>
        <v>20254436.738000002</v>
      </c>
      <c r="K9" s="5">
        <f t="shared" si="6"/>
        <v>30745398.985999998</v>
      </c>
    </row>
    <row r="10" spans="1:11">
      <c r="A10" s="5" t="s">
        <v>8</v>
      </c>
      <c r="B10" s="5">
        <f t="shared" ref="B10:K10" si="7">+B5+B6+B7</f>
        <v>1108046.9400000002</v>
      </c>
      <c r="C10" s="5">
        <f t="shared" si="7"/>
        <v>1307053.0279999999</v>
      </c>
      <c r="D10" s="5">
        <f t="shared" si="7"/>
        <v>1510402.7889999999</v>
      </c>
      <c r="E10" s="5">
        <f t="shared" si="7"/>
        <v>1892726.6140000001</v>
      </c>
      <c r="F10" s="5">
        <f t="shared" si="7"/>
        <v>2481093.9750000006</v>
      </c>
      <c r="G10" s="5">
        <f t="shared" si="7"/>
        <v>2957919.5989999999</v>
      </c>
      <c r="H10" s="5">
        <f t="shared" si="7"/>
        <v>3627407.0320000006</v>
      </c>
      <c r="I10" s="5">
        <f t="shared" si="7"/>
        <v>12194665.194000002</v>
      </c>
      <c r="J10" s="5">
        <f t="shared" si="7"/>
        <v>20254436.740000002</v>
      </c>
      <c r="K10" s="5">
        <f t="shared" si="7"/>
        <v>30745398.992000002</v>
      </c>
    </row>
    <row r="11" spans="1:11">
      <c r="A11" s="5" t="s">
        <v>9</v>
      </c>
      <c r="B11" s="5">
        <v>14032.666999999999</v>
      </c>
      <c r="C11" s="5">
        <v>14032.666999999999</v>
      </c>
      <c r="D11" s="5">
        <v>23403.323</v>
      </c>
      <c r="E11" s="5">
        <v>33060.353000000003</v>
      </c>
      <c r="F11" s="5">
        <v>103852.84699999999</v>
      </c>
      <c r="G11" s="5">
        <v>101279.094</v>
      </c>
      <c r="H11" s="5">
        <v>98968.692999999999</v>
      </c>
      <c r="I11" s="5">
        <v>120278.06200000001</v>
      </c>
      <c r="J11" s="5">
        <v>290929.44500000001</v>
      </c>
      <c r="K11" s="5">
        <v>448557.67099999997</v>
      </c>
    </row>
    <row r="12" spans="1:11">
      <c r="A12" s="6" t="s">
        <v>10</v>
      </c>
      <c r="B12" s="6">
        <v>833762.12399999995</v>
      </c>
      <c r="C12" s="6">
        <v>1043360.095</v>
      </c>
      <c r="D12" s="6">
        <v>1260884.382</v>
      </c>
      <c r="E12" s="6">
        <v>1617813.8970000001</v>
      </c>
      <c r="F12" s="6">
        <v>1804326.8670000001</v>
      </c>
      <c r="G12" s="6">
        <v>2078253.47</v>
      </c>
      <c r="H12" s="6">
        <v>2557936.952</v>
      </c>
      <c r="I12" s="6">
        <v>7193567.1169999996</v>
      </c>
      <c r="J12" s="6">
        <v>13525187.710999999</v>
      </c>
      <c r="K12" s="6">
        <v>16975662.245999999</v>
      </c>
    </row>
    <row r="13" spans="1:11">
      <c r="A13" s="5" t="s">
        <v>11</v>
      </c>
      <c r="B13" s="5">
        <v>1403.519</v>
      </c>
      <c r="C13" s="5">
        <v>1427.037</v>
      </c>
      <c r="D13" s="5">
        <v>2041.3710000000001</v>
      </c>
      <c r="E13" s="5">
        <v>2721.8560000000002</v>
      </c>
      <c r="F13" s="5">
        <v>3448.04</v>
      </c>
      <c r="G13" s="5">
        <v>3453.29</v>
      </c>
      <c r="H13" s="5">
        <v>3511.326</v>
      </c>
      <c r="I13" s="5">
        <v>19925.234</v>
      </c>
      <c r="J13" s="5">
        <v>25704.472000000002</v>
      </c>
      <c r="K13" s="5">
        <v>28709.24</v>
      </c>
    </row>
    <row r="14" spans="1:11">
      <c r="A14" s="6" t="s">
        <v>12</v>
      </c>
      <c r="B14" s="6">
        <v>20939.670999999998</v>
      </c>
      <c r="C14" s="6">
        <v>25333.043000000001</v>
      </c>
      <c r="D14" s="6">
        <v>29666.921999999999</v>
      </c>
      <c r="E14" s="6">
        <v>34707.233999999997</v>
      </c>
      <c r="F14" s="6">
        <v>36676.017999999996</v>
      </c>
      <c r="G14" s="6">
        <v>41352.777999999998</v>
      </c>
      <c r="H14" s="6">
        <v>49195.082000000002</v>
      </c>
      <c r="I14" s="6">
        <v>215053.45699999999</v>
      </c>
      <c r="J14" s="6">
        <v>368293.234</v>
      </c>
      <c r="K14" s="6">
        <v>432329.51299999998</v>
      </c>
    </row>
    <row r="15" spans="1:11">
      <c r="A15" s="5" t="s">
        <v>13</v>
      </c>
      <c r="B15" s="5">
        <v>119819.35799999999</v>
      </c>
      <c r="C15" s="5">
        <v>153420.67600000001</v>
      </c>
      <c r="D15" s="5">
        <v>181671.883</v>
      </c>
      <c r="E15" s="5">
        <v>206840.698</v>
      </c>
      <c r="F15" s="5">
        <v>240029.236</v>
      </c>
      <c r="G15" s="5">
        <v>259654.772</v>
      </c>
      <c r="H15" s="5">
        <v>304228.85100000002</v>
      </c>
      <c r="I15" s="5">
        <v>1555545.7990000001</v>
      </c>
      <c r="J15" s="5">
        <v>2211598.5729999999</v>
      </c>
      <c r="K15" s="5">
        <v>2915529.017</v>
      </c>
    </row>
    <row r="16" spans="1:11">
      <c r="A16" s="6" t="s">
        <v>14</v>
      </c>
      <c r="B16" s="6">
        <v>78074.387000000002</v>
      </c>
      <c r="C16" s="6">
        <v>78665.805999999997</v>
      </c>
      <c r="D16" s="6">
        <v>111033.75900000001</v>
      </c>
      <c r="E16" s="6">
        <v>140028.73000000001</v>
      </c>
      <c r="F16" s="6">
        <v>158375.25899999999</v>
      </c>
      <c r="G16" s="6">
        <v>194663.89199999999</v>
      </c>
      <c r="H16" s="6">
        <v>208611.15100000001</v>
      </c>
      <c r="I16" s="6">
        <v>905914.41299999994</v>
      </c>
      <c r="J16" s="6">
        <v>1260059.7849999999</v>
      </c>
      <c r="K16" s="6">
        <v>952913.304</v>
      </c>
    </row>
    <row r="17" spans="1:11">
      <c r="A17" s="5" t="s">
        <v>15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14708.053</v>
      </c>
      <c r="J17" s="5">
        <v>35116.506999999998</v>
      </c>
      <c r="K17" s="5">
        <v>156914.677</v>
      </c>
    </row>
    <row r="18" spans="1:11">
      <c r="A18" s="6" t="s">
        <v>16</v>
      </c>
      <c r="B18" s="6">
        <v>14039.53</v>
      </c>
      <c r="C18" s="6">
        <v>2262.9029999999998</v>
      </c>
      <c r="D18" s="6">
        <v>1688.7149999999999</v>
      </c>
      <c r="E18" s="6">
        <v>766.351</v>
      </c>
      <c r="F18" s="6">
        <v>1314.864</v>
      </c>
      <c r="G18" s="6">
        <v>5537.9179999999997</v>
      </c>
      <c r="H18" s="6">
        <v>69886.989000000001</v>
      </c>
      <c r="I18" s="6">
        <v>3029387.048</v>
      </c>
      <c r="J18" s="6">
        <v>3600896.7889999999</v>
      </c>
      <c r="K18" s="6">
        <v>7964508.3940000003</v>
      </c>
    </row>
    <row r="19" spans="1:11">
      <c r="A19" s="5" t="s">
        <v>17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</row>
    <row r="20" spans="1:11">
      <c r="A20" s="7" t="s">
        <v>18</v>
      </c>
      <c r="B20" s="4">
        <f t="shared" ref="B20:K20" si="8">SUM(B11:B19)</f>
        <v>1082071.2560000001</v>
      </c>
      <c r="C20" s="4">
        <f t="shared" si="8"/>
        <v>1318502.227</v>
      </c>
      <c r="D20" s="4">
        <f t="shared" si="8"/>
        <v>1610390.3550000002</v>
      </c>
      <c r="E20" s="4">
        <f t="shared" si="8"/>
        <v>2035939.1189999999</v>
      </c>
      <c r="F20" s="4">
        <f t="shared" si="8"/>
        <v>2348023.1310000001</v>
      </c>
      <c r="G20" s="4">
        <f t="shared" si="8"/>
        <v>2684195.2139999997</v>
      </c>
      <c r="H20" s="4">
        <f t="shared" si="8"/>
        <v>3292339.0440000002</v>
      </c>
      <c r="I20" s="4">
        <f t="shared" si="8"/>
        <v>13054379.183</v>
      </c>
      <c r="J20" s="4">
        <f t="shared" si="8"/>
        <v>21317786.515999999</v>
      </c>
      <c r="K20" s="4">
        <f t="shared" si="8"/>
        <v>29875124.062000003</v>
      </c>
    </row>
    <row r="21" spans="1:11">
      <c r="A21" s="5" t="s">
        <v>19</v>
      </c>
      <c r="B21" s="5">
        <v>171723.603</v>
      </c>
      <c r="C21" s="5">
        <v>232985.014</v>
      </c>
      <c r="D21" s="5">
        <v>312488.89500000002</v>
      </c>
      <c r="E21" s="5">
        <v>411010.59100000001</v>
      </c>
      <c r="F21" s="5">
        <v>509449.80200000003</v>
      </c>
      <c r="G21" s="5">
        <v>618698.625</v>
      </c>
      <c r="H21" s="5">
        <v>747092.09699999995</v>
      </c>
      <c r="I21" s="5">
        <v>3843932.835</v>
      </c>
      <c r="J21" s="5">
        <v>5434710.7379999999</v>
      </c>
      <c r="K21" s="5">
        <v>7103298.0250000004</v>
      </c>
    </row>
    <row r="22" spans="1:11">
      <c r="A22" s="7" t="s">
        <v>20</v>
      </c>
      <c r="B22" s="4">
        <f t="shared" ref="B22:K22" si="9">+B20-B21</f>
        <v>910347.65300000005</v>
      </c>
      <c r="C22" s="4">
        <f t="shared" si="9"/>
        <v>1085517.213</v>
      </c>
      <c r="D22" s="4">
        <f t="shared" si="9"/>
        <v>1297901.4600000002</v>
      </c>
      <c r="E22" s="4">
        <f t="shared" si="9"/>
        <v>1624928.5279999999</v>
      </c>
      <c r="F22" s="4">
        <f t="shared" si="9"/>
        <v>1838573.3289999999</v>
      </c>
      <c r="G22" s="4">
        <f t="shared" si="9"/>
        <v>2065496.5889999997</v>
      </c>
      <c r="H22" s="4">
        <f t="shared" si="9"/>
        <v>2545246.9470000002</v>
      </c>
      <c r="I22" s="4">
        <f t="shared" si="9"/>
        <v>9210446.3480000012</v>
      </c>
      <c r="J22" s="4">
        <f t="shared" si="9"/>
        <v>15883075.777999999</v>
      </c>
      <c r="K22" s="4">
        <f t="shared" si="9"/>
        <v>22771826.037</v>
      </c>
    </row>
    <row r="23" spans="1:11">
      <c r="A23" s="5" t="s">
        <v>21</v>
      </c>
      <c r="B23" s="5">
        <v>5018.6899999999996</v>
      </c>
      <c r="C23" s="5">
        <v>5018.6899999999996</v>
      </c>
      <c r="D23" s="5">
        <v>5018.6890000000003</v>
      </c>
      <c r="E23" s="5">
        <v>5018.6890000000003</v>
      </c>
      <c r="F23" s="5">
        <v>5018.6890000000003</v>
      </c>
      <c r="G23" s="5">
        <v>5018.6890000000003</v>
      </c>
      <c r="H23" s="5">
        <v>45902.294000000002</v>
      </c>
      <c r="I23" s="5">
        <v>5018.6890000000003</v>
      </c>
      <c r="J23" s="5">
        <v>5018.6890000000003</v>
      </c>
      <c r="K23" s="5">
        <v>5018.6890000000003</v>
      </c>
    </row>
    <row r="24" spans="1:11">
      <c r="A24" s="6" t="s">
        <v>22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</row>
    <row r="25" spans="1:11">
      <c r="A25" s="5" t="s">
        <v>23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</row>
    <row r="26" spans="1:11">
      <c r="A26" s="6" t="s">
        <v>24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</row>
    <row r="27" spans="1:11">
      <c r="A27" s="5" t="s">
        <v>25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</row>
    <row r="28" spans="1:11">
      <c r="A28" s="6" t="s">
        <v>26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</row>
    <row r="29" spans="1:11">
      <c r="A29" s="5" t="s">
        <v>27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</row>
    <row r="30" spans="1:11">
      <c r="A30" s="6" t="s">
        <v>28</v>
      </c>
      <c r="B30" s="6">
        <v>1171.6310000000001</v>
      </c>
      <c r="C30" s="6">
        <v>13580.647000000001</v>
      </c>
      <c r="D30" s="6">
        <v>14037.344999999999</v>
      </c>
      <c r="E30" s="6">
        <v>39713.438000000002</v>
      </c>
      <c r="F30" s="6">
        <v>40539.995000000003</v>
      </c>
      <c r="G30" s="6">
        <v>41274.216999999997</v>
      </c>
      <c r="H30" s="6">
        <v>46182.106</v>
      </c>
      <c r="I30" s="6">
        <v>531466.255</v>
      </c>
      <c r="J30" s="6">
        <v>758034.45200000005</v>
      </c>
      <c r="K30" s="6">
        <v>1025764.942</v>
      </c>
    </row>
    <row r="31" spans="1:11">
      <c r="A31" s="5" t="s">
        <v>29</v>
      </c>
      <c r="B31" s="5">
        <v>0</v>
      </c>
      <c r="C31" s="5">
        <v>8777.9249999999993</v>
      </c>
      <c r="D31" s="5">
        <v>11429.745000000001</v>
      </c>
      <c r="E31" s="5">
        <v>18887.544000000002</v>
      </c>
      <c r="F31" s="5">
        <v>26246.241000000002</v>
      </c>
      <c r="G31" s="5">
        <v>32292.361000000001</v>
      </c>
      <c r="H31" s="5">
        <v>39465.957000000002</v>
      </c>
      <c r="I31" s="5">
        <v>370735.58299999998</v>
      </c>
      <c r="J31" s="5">
        <v>586587.05700000003</v>
      </c>
      <c r="K31" s="5">
        <v>793925.071</v>
      </c>
    </row>
    <row r="32" spans="1:11">
      <c r="A32" s="7" t="s">
        <v>30</v>
      </c>
      <c r="B32" s="4">
        <f t="shared" ref="B32:K32" si="10">+B23-B24+SUM(B25:B30)-B31</f>
        <v>6190.3209999999999</v>
      </c>
      <c r="C32" s="4">
        <f t="shared" si="10"/>
        <v>9821.4120000000003</v>
      </c>
      <c r="D32" s="4">
        <f t="shared" si="10"/>
        <v>7626.2889999999989</v>
      </c>
      <c r="E32" s="4">
        <f t="shared" si="10"/>
        <v>25844.582999999999</v>
      </c>
      <c r="F32" s="4">
        <f t="shared" si="10"/>
        <v>19312.442999999999</v>
      </c>
      <c r="G32" s="4">
        <f t="shared" si="10"/>
        <v>14000.544999999995</v>
      </c>
      <c r="H32" s="4">
        <f t="shared" si="10"/>
        <v>52618.442999999992</v>
      </c>
      <c r="I32" s="4">
        <f t="shared" si="10"/>
        <v>165749.36100000003</v>
      </c>
      <c r="J32" s="4">
        <f t="shared" si="10"/>
        <v>176466.08400000003</v>
      </c>
      <c r="K32" s="4">
        <f t="shared" si="10"/>
        <v>236858.56000000006</v>
      </c>
    </row>
    <row r="33" spans="1:11">
      <c r="A33" s="5" t="s">
        <v>31</v>
      </c>
      <c r="B33" s="5">
        <v>744.22400000000005</v>
      </c>
      <c r="C33" s="5">
        <v>979.22400000000005</v>
      </c>
      <c r="D33" s="5">
        <v>9934.6450000000004</v>
      </c>
      <c r="E33" s="5">
        <v>11068.502</v>
      </c>
      <c r="F33" s="5">
        <v>17929.223999999998</v>
      </c>
      <c r="G33" s="5">
        <v>15245.519</v>
      </c>
      <c r="H33" s="5">
        <v>41104.146000000001</v>
      </c>
      <c r="I33" s="5">
        <v>75974.125</v>
      </c>
      <c r="J33" s="5">
        <v>310568.03100000002</v>
      </c>
      <c r="K33" s="5">
        <v>557041.80299999996</v>
      </c>
    </row>
    <row r="34" spans="1:11">
      <c r="A34" s="6" t="s">
        <v>32</v>
      </c>
      <c r="B34" s="6">
        <v>499.62299999999999</v>
      </c>
      <c r="C34" s="6">
        <v>11206.319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</row>
    <row r="35" spans="1:11">
      <c r="A35" s="5" t="s">
        <v>33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</row>
    <row r="36" spans="1:11">
      <c r="A36" s="6" t="s">
        <v>34</v>
      </c>
      <c r="B36" s="6">
        <v>13057.348</v>
      </c>
      <c r="C36" s="6">
        <v>1874.5450000000001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</row>
    <row r="37" spans="1:11">
      <c r="A37" s="5" t="s">
        <v>35</v>
      </c>
      <c r="B37" s="5">
        <v>3939.9690000000001</v>
      </c>
      <c r="C37" s="5">
        <v>14655.045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47724.663999999997</v>
      </c>
      <c r="J37" s="5">
        <v>0</v>
      </c>
      <c r="K37" s="5">
        <v>0</v>
      </c>
    </row>
    <row r="38" spans="1:11">
      <c r="A38" s="6" t="s">
        <v>36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</row>
    <row r="39" spans="1:11">
      <c r="A39" s="5" t="s">
        <v>37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</row>
    <row r="40" spans="1:11">
      <c r="A40" s="6" t="s">
        <v>38</v>
      </c>
      <c r="B40" s="6">
        <v>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</row>
    <row r="41" spans="1:11">
      <c r="A41" s="5" t="s">
        <v>39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</row>
    <row r="42" spans="1:11">
      <c r="A42" s="6" t="s">
        <v>40</v>
      </c>
      <c r="B42" s="6">
        <v>0</v>
      </c>
      <c r="C42" s="6">
        <v>2E-3</v>
      </c>
      <c r="D42" s="6">
        <v>0</v>
      </c>
      <c r="E42" s="6">
        <v>0</v>
      </c>
      <c r="F42" s="6">
        <v>93.823999999999998</v>
      </c>
      <c r="G42" s="6">
        <v>0</v>
      </c>
      <c r="H42" s="6">
        <v>0.97</v>
      </c>
      <c r="I42" s="6">
        <v>0</v>
      </c>
      <c r="J42" s="6">
        <v>0</v>
      </c>
      <c r="K42" s="6">
        <v>0</v>
      </c>
    </row>
    <row r="43" spans="1:11">
      <c r="A43" s="5" t="s">
        <v>41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</row>
    <row r="44" spans="1:11">
      <c r="A44" s="6" t="s">
        <v>42</v>
      </c>
      <c r="B44" s="6">
        <v>13425.013999999999</v>
      </c>
      <c r="C44" s="6">
        <v>8400</v>
      </c>
      <c r="D44" s="6">
        <v>6000</v>
      </c>
      <c r="E44" s="6">
        <v>3600</v>
      </c>
      <c r="F44" s="6">
        <v>366230</v>
      </c>
      <c r="G44" s="6">
        <v>414859.45</v>
      </c>
      <c r="H44" s="6">
        <v>538403.94999999995</v>
      </c>
      <c r="I44" s="6">
        <v>582099.07999999996</v>
      </c>
      <c r="J44" s="6">
        <v>713368.41</v>
      </c>
      <c r="K44" s="6">
        <v>633815.02500000002</v>
      </c>
    </row>
    <row r="45" spans="1:11">
      <c r="A45" s="5" t="s">
        <v>43</v>
      </c>
      <c r="B45" s="5">
        <v>2.8119999999999998</v>
      </c>
      <c r="C45" s="5">
        <v>7.8879999999999999</v>
      </c>
      <c r="D45" s="5">
        <v>318.85399999999998</v>
      </c>
      <c r="E45" s="5">
        <v>663.27200000000005</v>
      </c>
      <c r="F45" s="5">
        <v>898.24699999999996</v>
      </c>
      <c r="G45" s="5">
        <v>9649.0810000000001</v>
      </c>
      <c r="H45" s="5">
        <v>5708.1229999999996</v>
      </c>
      <c r="I45" s="5">
        <v>7229.7430000000004</v>
      </c>
      <c r="J45" s="5">
        <v>63717.542000000001</v>
      </c>
      <c r="K45" s="5">
        <v>30083.248</v>
      </c>
    </row>
    <row r="46" spans="1:11">
      <c r="A46" s="6" t="s">
        <v>44</v>
      </c>
      <c r="B46" s="6">
        <v>96.352999999999994</v>
      </c>
      <c r="C46" s="6">
        <v>109.42700000000001</v>
      </c>
      <c r="D46" s="6">
        <v>68.012</v>
      </c>
      <c r="E46" s="6">
        <v>110.21299999999999</v>
      </c>
      <c r="F46" s="6">
        <v>115.806</v>
      </c>
      <c r="G46" s="6">
        <v>651.91899999999998</v>
      </c>
      <c r="H46" s="6">
        <v>1045.393</v>
      </c>
      <c r="I46" s="6">
        <v>1386.518</v>
      </c>
      <c r="J46" s="6">
        <v>2664.7820000000002</v>
      </c>
      <c r="K46" s="6">
        <v>5079.3019999999997</v>
      </c>
    </row>
    <row r="47" spans="1:11">
      <c r="A47" s="5" t="s">
        <v>45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</row>
    <row r="48" spans="1:11">
      <c r="A48" s="6" t="s">
        <v>46</v>
      </c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</row>
    <row r="49" spans="1:11">
      <c r="A49" s="5" t="s">
        <v>47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</row>
    <row r="50" spans="1:11">
      <c r="A50" s="6" t="s">
        <v>48</v>
      </c>
      <c r="B50" s="6">
        <v>0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</row>
    <row r="51" spans="1:11">
      <c r="A51" s="5" t="s">
        <v>49</v>
      </c>
      <c r="B51" s="5">
        <v>8188.8090000000002</v>
      </c>
      <c r="C51" s="5">
        <v>9285.59</v>
      </c>
      <c r="D51" s="5">
        <v>11475.494000000001</v>
      </c>
      <c r="E51" s="5">
        <v>18170.817999999999</v>
      </c>
      <c r="F51" s="5">
        <v>20134.517</v>
      </c>
      <c r="G51" s="5">
        <v>16677.38</v>
      </c>
      <c r="H51" s="5">
        <v>30165.547999999999</v>
      </c>
      <c r="I51" s="5">
        <v>82512.491999999998</v>
      </c>
      <c r="J51" s="5">
        <v>160412.087</v>
      </c>
      <c r="K51" s="5">
        <v>121947.40300000001</v>
      </c>
    </row>
    <row r="52" spans="1:11">
      <c r="A52" s="6" t="s">
        <v>50</v>
      </c>
      <c r="B52" s="6">
        <v>3631.7310000000002</v>
      </c>
      <c r="C52" s="6">
        <v>3760.83</v>
      </c>
      <c r="D52" s="6">
        <v>4152.6059999999998</v>
      </c>
      <c r="E52" s="6">
        <v>3459.4340000000002</v>
      </c>
      <c r="F52" s="6">
        <v>1624.3440000000001</v>
      </c>
      <c r="G52" s="6">
        <v>0</v>
      </c>
      <c r="H52" s="6">
        <v>0</v>
      </c>
      <c r="I52" s="6">
        <v>61085.561000000002</v>
      </c>
      <c r="J52" s="6">
        <v>326148.78700000001</v>
      </c>
      <c r="K52" s="6">
        <v>338161.65500000003</v>
      </c>
    </row>
    <row r="53" spans="1:11">
      <c r="A53" s="5" t="s">
        <v>51</v>
      </c>
      <c r="B53" s="5">
        <v>6505.1310000000003</v>
      </c>
      <c r="C53" s="5">
        <v>5379.2359999999999</v>
      </c>
      <c r="D53" s="5">
        <v>6250.56</v>
      </c>
      <c r="E53" s="5">
        <v>9277.8169999999991</v>
      </c>
      <c r="F53" s="5">
        <v>12344.097</v>
      </c>
      <c r="G53" s="5">
        <v>13830.125</v>
      </c>
      <c r="H53" s="5">
        <v>17265.217000000001</v>
      </c>
      <c r="I53" s="5">
        <v>96307.625</v>
      </c>
      <c r="J53" s="5">
        <v>439576.74699999997</v>
      </c>
      <c r="K53" s="5">
        <v>230425.856</v>
      </c>
    </row>
    <row r="54" spans="1:11">
      <c r="A54" s="6" t="s">
        <v>52</v>
      </c>
      <c r="B54" s="6">
        <v>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</row>
    <row r="55" spans="1:11">
      <c r="A55" s="5" t="s">
        <v>53</v>
      </c>
      <c r="B55" s="5">
        <v>4325.9620000000004</v>
      </c>
      <c r="C55" s="5">
        <v>5259.34</v>
      </c>
      <c r="D55" s="5">
        <v>9137.6859999999997</v>
      </c>
      <c r="E55" s="5">
        <v>13886.013999999999</v>
      </c>
      <c r="F55" s="5">
        <v>19320.137999999999</v>
      </c>
      <c r="G55" s="5">
        <v>21138.776999999998</v>
      </c>
      <c r="H55" s="5">
        <v>57656.904999999999</v>
      </c>
      <c r="I55" s="5">
        <v>370969.18199999997</v>
      </c>
      <c r="J55" s="5">
        <v>526988.56200000003</v>
      </c>
      <c r="K55" s="5">
        <v>256446.698</v>
      </c>
    </row>
    <row r="56" spans="1:11">
      <c r="A56" s="7" t="s">
        <v>54</v>
      </c>
      <c r="B56" s="4">
        <f t="shared" ref="B56:K56" si="11">SUM(B47:B53)+B55-B54</f>
        <v>22651.633000000002</v>
      </c>
      <c r="C56" s="4">
        <f t="shared" si="11"/>
        <v>23684.995999999999</v>
      </c>
      <c r="D56" s="4">
        <f t="shared" si="11"/>
        <v>31016.345999999998</v>
      </c>
      <c r="E56" s="4">
        <f t="shared" si="11"/>
        <v>44794.082999999999</v>
      </c>
      <c r="F56" s="4">
        <f t="shared" si="11"/>
        <v>53423.095999999998</v>
      </c>
      <c r="G56" s="4">
        <f t="shared" si="11"/>
        <v>51646.281999999999</v>
      </c>
      <c r="H56" s="4">
        <f t="shared" si="11"/>
        <v>105087.67</v>
      </c>
      <c r="I56" s="4">
        <f t="shared" si="11"/>
        <v>610874.86</v>
      </c>
      <c r="J56" s="4">
        <f t="shared" si="11"/>
        <v>1453126.1830000002</v>
      </c>
      <c r="K56" s="4">
        <f t="shared" si="11"/>
        <v>946981.61199999996</v>
      </c>
    </row>
    <row r="57" spans="1:11">
      <c r="A57" s="5" t="s">
        <v>55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</row>
    <row r="58" spans="1:11">
      <c r="A58" s="6" t="s">
        <v>56</v>
      </c>
      <c r="B58" s="6">
        <v>0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77608.135999999999</v>
      </c>
      <c r="J58" s="6">
        <v>39712.709000000003</v>
      </c>
      <c r="K58" s="6">
        <v>0</v>
      </c>
    </row>
    <row r="59" spans="1:11">
      <c r="A59" s="5" t="s">
        <v>57</v>
      </c>
      <c r="B59" s="5">
        <v>0</v>
      </c>
      <c r="C59" s="5">
        <v>0</v>
      </c>
      <c r="D59" s="5">
        <v>1171.9870000000001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</row>
    <row r="60" spans="1:11">
      <c r="A60" s="6" t="s">
        <v>58</v>
      </c>
      <c r="B60" s="6">
        <v>0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</row>
    <row r="61" spans="1:11">
      <c r="A61" s="5" t="s">
        <v>59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</row>
    <row r="62" spans="1:11">
      <c r="A62" s="6" t="s">
        <v>60</v>
      </c>
      <c r="B62" s="6">
        <v>0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</row>
    <row r="63" spans="1:11">
      <c r="A63" s="5" t="s">
        <v>61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</row>
    <row r="64" spans="1:11">
      <c r="A64" s="6" t="s">
        <v>62</v>
      </c>
      <c r="B64" s="6">
        <v>60591.212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</row>
    <row r="65" spans="1:11">
      <c r="A65" s="5" t="s">
        <v>63</v>
      </c>
      <c r="B65" s="5">
        <v>5085.0240000000003</v>
      </c>
      <c r="C65" s="5">
        <v>5342.5739999999996</v>
      </c>
      <c r="D65" s="5">
        <v>8909.6820000000007</v>
      </c>
      <c r="E65" s="5">
        <v>8927.35</v>
      </c>
      <c r="F65" s="5">
        <v>12011.114</v>
      </c>
      <c r="G65" s="5">
        <v>23050.474999999999</v>
      </c>
      <c r="H65" s="5">
        <v>19066.82</v>
      </c>
      <c r="I65" s="5">
        <v>50807.63</v>
      </c>
      <c r="J65" s="5">
        <v>72914.236000000004</v>
      </c>
      <c r="K65" s="5">
        <v>105966.15</v>
      </c>
    </row>
    <row r="66" spans="1:11">
      <c r="A66" s="6" t="s">
        <v>64</v>
      </c>
      <c r="B66" s="6">
        <v>0</v>
      </c>
      <c r="C66" s="6">
        <v>0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</row>
    <row r="67" spans="1:11">
      <c r="A67" s="5" t="s">
        <v>65</v>
      </c>
      <c r="B67" s="5">
        <v>489.49</v>
      </c>
      <c r="C67" s="5">
        <v>42053.057000000001</v>
      </c>
      <c r="D67" s="5">
        <v>9450.7119999999995</v>
      </c>
      <c r="E67" s="5">
        <v>1701.4259999999999</v>
      </c>
      <c r="F67" s="5">
        <v>7443.8609999999999</v>
      </c>
      <c r="G67" s="5">
        <v>2058.6439999999998</v>
      </c>
      <c r="H67" s="5">
        <v>3778.442</v>
      </c>
      <c r="I67" s="5">
        <v>70971.119000000006</v>
      </c>
      <c r="J67" s="5">
        <v>115595.523</v>
      </c>
      <c r="K67" s="5">
        <v>136131.58799999999</v>
      </c>
    </row>
    <row r="68" spans="1:11">
      <c r="A68" s="6" t="s">
        <v>66</v>
      </c>
      <c r="B68" s="6">
        <v>0</v>
      </c>
      <c r="C68" s="6">
        <v>0</v>
      </c>
      <c r="D68" s="6">
        <v>24.184000000000001</v>
      </c>
      <c r="E68" s="6">
        <v>0</v>
      </c>
      <c r="F68" s="6">
        <v>0</v>
      </c>
      <c r="G68" s="6">
        <v>24.547000000000001</v>
      </c>
      <c r="H68" s="6">
        <v>0</v>
      </c>
      <c r="I68" s="6">
        <v>45.347000000000001</v>
      </c>
      <c r="J68" s="6">
        <v>240.34899999999999</v>
      </c>
      <c r="K68" s="6">
        <v>245.01499999999999</v>
      </c>
    </row>
    <row r="69" spans="1:11">
      <c r="A69" s="5" t="s">
        <v>67</v>
      </c>
      <c r="B69" s="5">
        <v>27411.154999999999</v>
      </c>
      <c r="C69" s="5">
        <v>41524.464999999997</v>
      </c>
      <c r="D69" s="5">
        <v>54817.366000000002</v>
      </c>
      <c r="E69" s="5">
        <v>75097.892999999996</v>
      </c>
      <c r="F69" s="5">
        <v>57471.152000000002</v>
      </c>
      <c r="G69" s="5">
        <v>74023.198999999993</v>
      </c>
      <c r="H69" s="5">
        <v>107582.061</v>
      </c>
      <c r="I69" s="5">
        <v>463144.05099999998</v>
      </c>
      <c r="J69" s="5">
        <v>386475.46299999999</v>
      </c>
      <c r="K69" s="5">
        <v>1052397.6540000001</v>
      </c>
    </row>
    <row r="70" spans="1:11">
      <c r="A70" s="6" t="s">
        <v>68</v>
      </c>
      <c r="B70" s="6">
        <v>0</v>
      </c>
      <c r="C70" s="6">
        <v>0</v>
      </c>
      <c r="D70" s="6">
        <v>0</v>
      </c>
      <c r="E70" s="6">
        <v>4139.1549999999997</v>
      </c>
      <c r="F70" s="6">
        <v>4911.0020000000004</v>
      </c>
      <c r="G70" s="6">
        <v>7718.5829999999996</v>
      </c>
      <c r="H70" s="6">
        <v>20724.967000000001</v>
      </c>
      <c r="I70" s="6">
        <v>34596.97</v>
      </c>
      <c r="J70" s="6">
        <v>67052.929999999993</v>
      </c>
      <c r="K70" s="6">
        <v>75547.914999999994</v>
      </c>
    </row>
    <row r="71" spans="1:11">
      <c r="A71" s="7" t="s">
        <v>69</v>
      </c>
      <c r="B71" s="4">
        <f t="shared" ref="B71:K71" si="12">+B69-B70</f>
        <v>27411.154999999999</v>
      </c>
      <c r="C71" s="4">
        <f t="shared" si="12"/>
        <v>41524.464999999997</v>
      </c>
      <c r="D71" s="4">
        <f t="shared" si="12"/>
        <v>54817.366000000002</v>
      </c>
      <c r="E71" s="4">
        <f t="shared" si="12"/>
        <v>70958.737999999998</v>
      </c>
      <c r="F71" s="4">
        <f t="shared" si="12"/>
        <v>52560.15</v>
      </c>
      <c r="G71" s="4">
        <f t="shared" si="12"/>
        <v>66304.615999999995</v>
      </c>
      <c r="H71" s="4">
        <f t="shared" si="12"/>
        <v>86857.093999999997</v>
      </c>
      <c r="I71" s="4">
        <f t="shared" si="12"/>
        <v>428547.08100000001</v>
      </c>
      <c r="J71" s="4">
        <f t="shared" si="12"/>
        <v>319422.533</v>
      </c>
      <c r="K71" s="4">
        <f t="shared" si="12"/>
        <v>976849.73900000006</v>
      </c>
    </row>
    <row r="72" spans="1:11">
      <c r="A72" s="6" t="s">
        <v>70</v>
      </c>
      <c r="B72" s="6">
        <v>0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</row>
    <row r="73" spans="1:11">
      <c r="A73" s="5" t="s">
        <v>71</v>
      </c>
      <c r="B73" s="5">
        <v>0</v>
      </c>
      <c r="C73" s="5">
        <v>36024.807999999997</v>
      </c>
      <c r="D73" s="5">
        <v>64114.995000000003</v>
      </c>
      <c r="E73" s="5">
        <v>14729.85</v>
      </c>
      <c r="F73" s="5">
        <v>19531.399000000001</v>
      </c>
      <c r="G73" s="5">
        <v>85507.247000000003</v>
      </c>
      <c r="H73" s="5">
        <v>15886.799000000001</v>
      </c>
      <c r="I73" s="5">
        <v>165508.36300000001</v>
      </c>
      <c r="J73" s="5">
        <v>281208.97100000002</v>
      </c>
      <c r="K73" s="5">
        <v>1341812.2390000001</v>
      </c>
    </row>
    <row r="74" spans="1:11">
      <c r="A74" s="6" t="s">
        <v>72</v>
      </c>
      <c r="B74" s="6">
        <v>0</v>
      </c>
      <c r="C74" s="6">
        <v>0</v>
      </c>
      <c r="D74" s="6">
        <v>248.357</v>
      </c>
      <c r="E74" s="6">
        <v>0</v>
      </c>
      <c r="F74" s="6">
        <v>0</v>
      </c>
      <c r="G74" s="6">
        <v>0</v>
      </c>
      <c r="H74" s="6">
        <v>0</v>
      </c>
      <c r="I74" s="6">
        <v>6917.41</v>
      </c>
      <c r="J74" s="6">
        <v>0</v>
      </c>
      <c r="K74" s="6">
        <v>62284.552000000003</v>
      </c>
    </row>
    <row r="75" spans="1:11">
      <c r="A75" s="5" t="s">
        <v>73</v>
      </c>
      <c r="B75" s="5">
        <v>49640.462</v>
      </c>
      <c r="C75" s="5">
        <v>25852.053</v>
      </c>
      <c r="D75" s="5">
        <v>18799.895</v>
      </c>
      <c r="E75" s="5">
        <v>85400.067999999999</v>
      </c>
      <c r="F75" s="5">
        <v>92971.48</v>
      </c>
      <c r="G75" s="5">
        <v>209424.682</v>
      </c>
      <c r="H75" s="5">
        <v>212602.22899999999</v>
      </c>
      <c r="I75" s="5">
        <v>692775.40300000005</v>
      </c>
      <c r="J75" s="5">
        <v>822355.60699999996</v>
      </c>
      <c r="K75" s="5">
        <v>2940424.1159999999</v>
      </c>
    </row>
    <row r="76" spans="1:11">
      <c r="A76" s="6" t="s">
        <v>75</v>
      </c>
      <c r="B76" s="6">
        <v>11000</v>
      </c>
      <c r="C76" s="6">
        <v>100000</v>
      </c>
      <c r="D76" s="6">
        <v>110000</v>
      </c>
      <c r="E76" s="6">
        <v>110000</v>
      </c>
      <c r="F76" s="6">
        <v>110000</v>
      </c>
      <c r="G76" s="6">
        <v>110000</v>
      </c>
      <c r="H76" s="6">
        <v>249999.89499999999</v>
      </c>
      <c r="I76" s="6">
        <v>315000</v>
      </c>
      <c r="J76" s="6">
        <v>315000</v>
      </c>
      <c r="K76" s="6">
        <v>1000000</v>
      </c>
    </row>
    <row r="77" spans="1:11">
      <c r="A77" s="5" t="s">
        <v>76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</row>
    <row r="78" spans="1:11">
      <c r="A78" s="6" t="s">
        <v>77</v>
      </c>
      <c r="B78" s="6">
        <v>0</v>
      </c>
      <c r="C78" s="6">
        <v>0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</row>
    <row r="79" spans="1:11">
      <c r="A79" s="5" t="s">
        <v>78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</row>
    <row r="80" spans="1:11">
      <c r="A80" s="6" t="s">
        <v>79</v>
      </c>
      <c r="B80" s="6">
        <v>14632.387000000001</v>
      </c>
      <c r="C80" s="6">
        <v>14415.212</v>
      </c>
      <c r="D80" s="6">
        <v>10501.536</v>
      </c>
      <c r="E80" s="6">
        <v>10879.715</v>
      </c>
      <c r="F80" s="6">
        <v>15582.38</v>
      </c>
      <c r="G80" s="6">
        <v>18842.763999999999</v>
      </c>
      <c r="H80" s="6">
        <v>8945.5380000000005</v>
      </c>
      <c r="I80" s="6">
        <v>113676.954</v>
      </c>
      <c r="J80" s="6">
        <v>430013.353</v>
      </c>
      <c r="K80" s="6">
        <v>1111098.92</v>
      </c>
    </row>
    <row r="81" spans="1:11">
      <c r="A81" s="5" t="s">
        <v>80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</row>
    <row r="82" spans="1:11">
      <c r="A82" s="7" t="s">
        <v>81</v>
      </c>
      <c r="B82" s="4">
        <f t="shared" ref="B82:K82" si="13">SUM(B76:B81)</f>
        <v>25632.387000000002</v>
      </c>
      <c r="C82" s="4">
        <f t="shared" si="13"/>
        <v>114415.212</v>
      </c>
      <c r="D82" s="4">
        <f t="shared" si="13"/>
        <v>120501.53599999999</v>
      </c>
      <c r="E82" s="4">
        <f t="shared" si="13"/>
        <v>120879.715</v>
      </c>
      <c r="F82" s="4">
        <f t="shared" si="13"/>
        <v>125582.38</v>
      </c>
      <c r="G82" s="4">
        <f t="shared" si="13"/>
        <v>128842.764</v>
      </c>
      <c r="H82" s="4">
        <f t="shared" si="13"/>
        <v>258945.43299999999</v>
      </c>
      <c r="I82" s="4">
        <f t="shared" si="13"/>
        <v>428676.95400000003</v>
      </c>
      <c r="J82" s="4">
        <f t="shared" si="13"/>
        <v>745013.353</v>
      </c>
      <c r="K82" s="4">
        <f t="shared" si="13"/>
        <v>2111098.92</v>
      </c>
    </row>
    <row r="83" spans="1:11">
      <c r="A83" s="5" t="s">
        <v>82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5490472.2740000002</v>
      </c>
      <c r="J83" s="5">
        <v>0</v>
      </c>
      <c r="K83" s="5">
        <v>0</v>
      </c>
    </row>
    <row r="84" spans="1:11">
      <c r="A84" s="6" t="s">
        <v>83</v>
      </c>
      <c r="B84" s="6">
        <v>0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</row>
    <row r="85" spans="1:11">
      <c r="A85" s="6" t="s">
        <v>84</v>
      </c>
      <c r="B85" s="6">
        <v>31611.131000000001</v>
      </c>
      <c r="C85" s="6">
        <v>31611.131000000001</v>
      </c>
      <c r="D85" s="6">
        <v>31611.131000000001</v>
      </c>
      <c r="E85" s="6">
        <v>31611.131000000001</v>
      </c>
      <c r="F85" s="6">
        <v>61611.131000000001</v>
      </c>
      <c r="G85" s="6">
        <v>189682.851</v>
      </c>
      <c r="H85" s="6">
        <v>61611.131000000001</v>
      </c>
      <c r="I85" s="6">
        <v>61611.131000000001</v>
      </c>
      <c r="J85" s="6">
        <v>507988.07</v>
      </c>
      <c r="K85" s="6">
        <v>61611.131000000001</v>
      </c>
    </row>
    <row r="86" spans="1:11">
      <c r="A86" s="5" t="s">
        <v>85</v>
      </c>
      <c r="B86" s="5">
        <v>-28727.830999999998</v>
      </c>
      <c r="C86" s="5">
        <v>-100955.39200000001</v>
      </c>
      <c r="D86" s="5">
        <v>-108609.124</v>
      </c>
      <c r="E86" s="5">
        <v>-111395.022</v>
      </c>
      <c r="F86" s="5">
        <v>-97177.513999999996</v>
      </c>
      <c r="G86" s="5">
        <v>-248477.864</v>
      </c>
      <c r="H86" s="5">
        <v>-264757.13699999999</v>
      </c>
      <c r="I86" s="5">
        <v>-97376.244999999995</v>
      </c>
      <c r="J86" s="5">
        <v>8485686.8420000002</v>
      </c>
      <c r="K86" s="5">
        <v>12686391.845000001</v>
      </c>
    </row>
    <row r="87" spans="1:11">
      <c r="A87" s="6" t="s">
        <v>86</v>
      </c>
      <c r="B87" s="6">
        <v>0</v>
      </c>
      <c r="C87" s="6">
        <v>0</v>
      </c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</row>
    <row r="88" spans="1:11">
      <c r="A88" s="5" t="s">
        <v>87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</row>
    <row r="89" spans="1:11">
      <c r="A89" s="6" t="s">
        <v>88</v>
      </c>
      <c r="B89" s="6">
        <v>0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</row>
    <row r="90" spans="1:11">
      <c r="A90" s="5" t="s">
        <v>89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</row>
    <row r="91" spans="1:11">
      <c r="A91" s="6" t="s">
        <v>90</v>
      </c>
      <c r="B91" s="6">
        <v>-47332.565999999999</v>
      </c>
      <c r="C91" s="6">
        <v>-51445.915000000001</v>
      </c>
      <c r="D91" s="6">
        <v>-55020.631000000001</v>
      </c>
      <c r="E91" s="6">
        <v>-54897.86</v>
      </c>
      <c r="F91" s="6">
        <v>-48360.951000000001</v>
      </c>
      <c r="G91" s="6">
        <v>-53779.845999999998</v>
      </c>
      <c r="H91" s="6">
        <v>-42922.023000000001</v>
      </c>
      <c r="I91" s="6">
        <v>-72628.244000000006</v>
      </c>
      <c r="J91" s="6">
        <v>1064438.5900000001</v>
      </c>
      <c r="K91" s="6">
        <v>2238693.58</v>
      </c>
    </row>
    <row r="92" spans="1:11">
      <c r="A92" s="5" t="s">
        <v>91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</row>
    <row r="93" spans="1:11">
      <c r="A93" s="7" t="s">
        <v>74</v>
      </c>
      <c r="B93" s="4">
        <f t="shared" ref="B93:K93" si="14">SUM(B83:B86)+SUM(B88:B92)-B87</f>
        <v>-44449.265999999996</v>
      </c>
      <c r="C93" s="4">
        <f t="shared" si="14"/>
        <v>-120790.17600000001</v>
      </c>
      <c r="D93" s="4">
        <f t="shared" si="14"/>
        <v>-132018.62399999998</v>
      </c>
      <c r="E93" s="4">
        <f t="shared" si="14"/>
        <v>-134681.75099999999</v>
      </c>
      <c r="F93" s="4">
        <f t="shared" si="14"/>
        <v>-83927.334000000003</v>
      </c>
      <c r="G93" s="4">
        <f t="shared" si="14"/>
        <v>-112574.859</v>
      </c>
      <c r="H93" s="4">
        <f t="shared" si="14"/>
        <v>-246068.02899999998</v>
      </c>
      <c r="I93" s="4">
        <f t="shared" si="14"/>
        <v>5382078.9160000002</v>
      </c>
      <c r="J93" s="4">
        <f t="shared" si="14"/>
        <v>10058113.502</v>
      </c>
      <c r="K93" s="4">
        <f t="shared" si="14"/>
        <v>14986696.556</v>
      </c>
    </row>
    <row r="94" spans="1:11">
      <c r="A94" s="5" t="s">
        <v>92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</row>
    <row r="95" spans="1:11">
      <c r="A95" s="6" t="s">
        <v>93</v>
      </c>
      <c r="B95" s="6">
        <v>0</v>
      </c>
      <c r="C95" s="6">
        <v>4318.7550000000001</v>
      </c>
      <c r="D95" s="6">
        <v>3239.538</v>
      </c>
      <c r="E95" s="6">
        <v>0</v>
      </c>
      <c r="F95" s="6">
        <v>0</v>
      </c>
      <c r="G95" s="6">
        <v>0</v>
      </c>
      <c r="H95" s="6">
        <v>729.55499999999995</v>
      </c>
      <c r="I95" s="6">
        <v>2105.569</v>
      </c>
      <c r="J95" s="6">
        <v>2811.2460000000001</v>
      </c>
      <c r="K95" s="6">
        <v>90.216999999999999</v>
      </c>
    </row>
    <row r="96" spans="1:11">
      <c r="A96" s="5" t="s">
        <v>94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</row>
    <row r="97" spans="1:11">
      <c r="A97" s="6" t="s">
        <v>95</v>
      </c>
      <c r="B97" s="6">
        <v>0</v>
      </c>
      <c r="C97" s="6">
        <v>0</v>
      </c>
      <c r="D97" s="6">
        <v>0</v>
      </c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</row>
    <row r="98" spans="1:11">
      <c r="A98" s="5" t="s">
        <v>96</v>
      </c>
      <c r="B98" s="5">
        <v>0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</row>
    <row r="99" spans="1:11">
      <c r="A99" s="6" t="s">
        <v>97</v>
      </c>
      <c r="B99" s="6">
        <v>0</v>
      </c>
      <c r="C99" s="6">
        <v>0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</row>
    <row r="100" spans="1:11">
      <c r="A100" s="7" t="s">
        <v>98</v>
      </c>
      <c r="B100" s="4">
        <f t="shared" ref="B100:K100" si="15">SUM(B95:B99)</f>
        <v>0</v>
      </c>
      <c r="C100" s="4">
        <f t="shared" si="15"/>
        <v>4318.7550000000001</v>
      </c>
      <c r="D100" s="4">
        <f t="shared" si="15"/>
        <v>3239.538</v>
      </c>
      <c r="E100" s="4">
        <f t="shared" si="15"/>
        <v>0</v>
      </c>
      <c r="F100" s="4">
        <f t="shared" si="15"/>
        <v>0</v>
      </c>
      <c r="G100" s="4">
        <f t="shared" si="15"/>
        <v>0</v>
      </c>
      <c r="H100" s="4">
        <f t="shared" si="15"/>
        <v>729.55499999999995</v>
      </c>
      <c r="I100" s="4">
        <f t="shared" si="15"/>
        <v>2105.569</v>
      </c>
      <c r="J100" s="4">
        <f t="shared" si="15"/>
        <v>2811.2460000000001</v>
      </c>
      <c r="K100" s="4">
        <f t="shared" si="15"/>
        <v>90.216999999999999</v>
      </c>
    </row>
    <row r="101" spans="1:11">
      <c r="A101" s="6" t="s">
        <v>99</v>
      </c>
      <c r="B101" s="6">
        <v>826913.10199999996</v>
      </c>
      <c r="C101" s="6">
        <v>982649.83799999999</v>
      </c>
      <c r="D101" s="6">
        <v>1037826.825</v>
      </c>
      <c r="E101" s="6">
        <v>1176102.6880000001</v>
      </c>
      <c r="F101" s="6">
        <v>1632924.929</v>
      </c>
      <c r="G101" s="6">
        <v>1960840.149</v>
      </c>
      <c r="H101" s="6">
        <v>2259510.4920000001</v>
      </c>
      <c r="I101" s="6">
        <v>3212352.8369999998</v>
      </c>
      <c r="J101" s="6">
        <v>5001753.5279999999</v>
      </c>
      <c r="K101" s="6">
        <v>11106977.618000001</v>
      </c>
    </row>
    <row r="102" spans="1:11">
      <c r="A102" s="5" t="s">
        <v>100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</row>
    <row r="103" spans="1:11">
      <c r="A103" s="6" t="s">
        <v>101</v>
      </c>
      <c r="B103" s="6">
        <v>0</v>
      </c>
      <c r="C103" s="6">
        <v>0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</row>
    <row r="104" spans="1:11">
      <c r="A104" s="5" t="s">
        <v>102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5">
        <v>0</v>
      </c>
    </row>
    <row r="105" spans="1:11">
      <c r="A105" s="6" t="s">
        <v>103</v>
      </c>
      <c r="B105" s="6">
        <v>0</v>
      </c>
      <c r="C105" s="6">
        <v>0</v>
      </c>
      <c r="D105" s="6">
        <v>0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</row>
    <row r="106" spans="1:11">
      <c r="A106" s="5" t="s">
        <v>104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</row>
    <row r="107" spans="1:11">
      <c r="A107" s="6" t="s">
        <v>105</v>
      </c>
      <c r="B107" s="6">
        <v>321.16500000000002</v>
      </c>
      <c r="C107" s="6">
        <v>0</v>
      </c>
      <c r="D107" s="6">
        <v>0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</row>
    <row r="108" spans="1:11">
      <c r="A108" s="7" t="s">
        <v>106</v>
      </c>
      <c r="B108" s="4">
        <f t="shared" ref="B108:K108" si="16">SUM(B101:B107)</f>
        <v>827234.26699999999</v>
      </c>
      <c r="C108" s="4">
        <f t="shared" si="16"/>
        <v>982649.83799999999</v>
      </c>
      <c r="D108" s="4">
        <f t="shared" si="16"/>
        <v>1037826.825</v>
      </c>
      <c r="E108" s="4">
        <f t="shared" si="16"/>
        <v>1176102.6880000001</v>
      </c>
      <c r="F108" s="4">
        <f t="shared" si="16"/>
        <v>1632924.929</v>
      </c>
      <c r="G108" s="4">
        <f t="shared" si="16"/>
        <v>1960840.149</v>
      </c>
      <c r="H108" s="4">
        <f t="shared" si="16"/>
        <v>2259510.4920000001</v>
      </c>
      <c r="I108" s="4">
        <f t="shared" si="16"/>
        <v>3212352.8369999998</v>
      </c>
      <c r="J108" s="4">
        <f t="shared" si="16"/>
        <v>5001753.5279999999</v>
      </c>
      <c r="K108" s="4">
        <f t="shared" si="16"/>
        <v>11106977.618000001</v>
      </c>
    </row>
    <row r="109" spans="1:11">
      <c r="A109" s="6" t="s">
        <v>107</v>
      </c>
      <c r="B109" s="6">
        <v>137.1</v>
      </c>
      <c r="C109" s="6">
        <v>0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</row>
    <row r="110" spans="1:11">
      <c r="A110" s="5" t="s">
        <v>108</v>
      </c>
      <c r="B110" s="5">
        <v>112371.11199999999</v>
      </c>
      <c r="C110" s="5">
        <v>56488.428999999996</v>
      </c>
      <c r="D110" s="5">
        <v>101366.05899999999</v>
      </c>
      <c r="E110" s="5">
        <v>201118.394</v>
      </c>
      <c r="F110" s="5">
        <v>300972.52899999998</v>
      </c>
      <c r="G110" s="5">
        <v>289046.15299999999</v>
      </c>
      <c r="H110" s="5">
        <v>251409.27100000001</v>
      </c>
      <c r="I110" s="5">
        <v>45297.966999999997</v>
      </c>
      <c r="J110" s="5">
        <v>317742.56699999998</v>
      </c>
      <c r="K110" s="5">
        <v>42702.572999999997</v>
      </c>
    </row>
    <row r="111" spans="1:11">
      <c r="A111" s="7" t="s">
        <v>109</v>
      </c>
      <c r="B111" s="4">
        <f t="shared" ref="B111:K111" si="17">SUM(B109:B110)</f>
        <v>112508.212</v>
      </c>
      <c r="C111" s="4">
        <f t="shared" si="17"/>
        <v>56488.428999999996</v>
      </c>
      <c r="D111" s="4">
        <f t="shared" si="17"/>
        <v>101366.05899999999</v>
      </c>
      <c r="E111" s="4">
        <f t="shared" si="17"/>
        <v>201118.394</v>
      </c>
      <c r="F111" s="4">
        <f t="shared" si="17"/>
        <v>300972.52899999998</v>
      </c>
      <c r="G111" s="4">
        <f t="shared" si="17"/>
        <v>289046.15299999999</v>
      </c>
      <c r="H111" s="4">
        <f t="shared" si="17"/>
        <v>251409.27100000001</v>
      </c>
      <c r="I111" s="4">
        <f t="shared" si="17"/>
        <v>45297.966999999997</v>
      </c>
      <c r="J111" s="4">
        <f t="shared" si="17"/>
        <v>317742.56699999998</v>
      </c>
      <c r="K111" s="4">
        <f t="shared" si="17"/>
        <v>42702.572999999997</v>
      </c>
    </row>
    <row r="112" spans="1:11">
      <c r="A112" s="5" t="s">
        <v>110</v>
      </c>
      <c r="B112" s="5">
        <v>0</v>
      </c>
      <c r="C112" s="5">
        <v>760.51099999999997</v>
      </c>
      <c r="D112" s="5">
        <v>0</v>
      </c>
      <c r="E112" s="5">
        <v>159.56899999999999</v>
      </c>
      <c r="F112" s="5">
        <v>603.08399999999995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</row>
    <row r="113" spans="1:11">
      <c r="A113" s="6" t="s">
        <v>111</v>
      </c>
      <c r="B113" s="6">
        <v>0</v>
      </c>
      <c r="C113" s="6">
        <v>0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</row>
    <row r="114" spans="1:11">
      <c r="A114" s="5" t="s">
        <v>112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</row>
    <row r="115" spans="1:11">
      <c r="A115" s="6" t="s">
        <v>113</v>
      </c>
      <c r="B115" s="6">
        <v>3712.81</v>
      </c>
      <c r="C115" s="6">
        <v>3341.6239999999998</v>
      </c>
      <c r="D115" s="6">
        <v>2970.4380000000001</v>
      </c>
      <c r="E115" s="6">
        <v>2153.4090000000001</v>
      </c>
      <c r="F115" s="6">
        <v>1336.84</v>
      </c>
      <c r="G115" s="6">
        <v>891.22699999999998</v>
      </c>
      <c r="H115" s="6">
        <v>445.613</v>
      </c>
      <c r="I115" s="6">
        <v>0</v>
      </c>
      <c r="J115" s="6">
        <v>0</v>
      </c>
      <c r="K115" s="6">
        <v>0</v>
      </c>
    </row>
    <row r="116" spans="1:11">
      <c r="A116" s="5" t="s">
        <v>114</v>
      </c>
      <c r="B116" s="5">
        <v>5630.576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  <c r="K116" s="5">
        <v>0</v>
      </c>
    </row>
    <row r="117" spans="1:11">
      <c r="A117" s="6" t="s">
        <v>115</v>
      </c>
      <c r="B117" s="6">
        <v>0</v>
      </c>
      <c r="C117" s="6">
        <v>0</v>
      </c>
      <c r="D117" s="6">
        <v>0</v>
      </c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</row>
    <row r="118" spans="1:11">
      <c r="A118" s="5" t="s">
        <v>116</v>
      </c>
      <c r="B118" s="5">
        <v>0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0</v>
      </c>
    </row>
    <row r="119" spans="1:11">
      <c r="A119" s="6" t="s">
        <v>117</v>
      </c>
      <c r="B119" s="6">
        <v>0</v>
      </c>
      <c r="C119" s="6">
        <v>0</v>
      </c>
      <c r="D119" s="6">
        <v>0</v>
      </c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</row>
    <row r="120" spans="1:11">
      <c r="A120" s="5" t="s">
        <v>118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</row>
    <row r="121" spans="1:11">
      <c r="A121" s="6" t="s">
        <v>119</v>
      </c>
      <c r="B121" s="6">
        <v>0</v>
      </c>
      <c r="C121" s="6">
        <v>0</v>
      </c>
      <c r="D121" s="6">
        <v>0</v>
      </c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</row>
    <row r="122" spans="1:11">
      <c r="A122" s="7" t="s">
        <v>120</v>
      </c>
      <c r="B122" s="4">
        <f t="shared" ref="B122:K122" si="18">SUM(B112:B121)</f>
        <v>9343.3860000000004</v>
      </c>
      <c r="C122" s="4">
        <f t="shared" si="18"/>
        <v>4102.1350000000002</v>
      </c>
      <c r="D122" s="4">
        <f t="shared" si="18"/>
        <v>2970.4380000000001</v>
      </c>
      <c r="E122" s="4">
        <f t="shared" si="18"/>
        <v>2312.9780000000001</v>
      </c>
      <c r="F122" s="4">
        <f t="shared" si="18"/>
        <v>1939.924</v>
      </c>
      <c r="G122" s="4">
        <f t="shared" si="18"/>
        <v>891.22699999999998</v>
      </c>
      <c r="H122" s="4">
        <f t="shared" si="18"/>
        <v>445.613</v>
      </c>
      <c r="I122" s="4">
        <f t="shared" si="18"/>
        <v>0</v>
      </c>
      <c r="J122" s="4">
        <f t="shared" si="18"/>
        <v>0</v>
      </c>
      <c r="K122" s="4">
        <f t="shared" si="18"/>
        <v>0</v>
      </c>
    </row>
    <row r="123" spans="1:11">
      <c r="A123" s="6" t="s">
        <v>121</v>
      </c>
      <c r="B123" s="6">
        <v>70638.824999999997</v>
      </c>
      <c r="C123" s="6">
        <v>195595.64799999999</v>
      </c>
      <c r="D123" s="6">
        <v>287378.78100000002</v>
      </c>
      <c r="E123" s="6">
        <v>397149.56900000002</v>
      </c>
      <c r="F123" s="6">
        <v>351519.13900000002</v>
      </c>
      <c r="G123" s="6">
        <v>0</v>
      </c>
      <c r="H123" s="6">
        <v>828520.897</v>
      </c>
      <c r="I123" s="6">
        <v>1633122.551</v>
      </c>
      <c r="J123" s="6">
        <v>389258.10499999998</v>
      </c>
      <c r="K123" s="6">
        <v>0</v>
      </c>
    </row>
    <row r="124" spans="1:11">
      <c r="A124" s="5" t="s">
        <v>122</v>
      </c>
      <c r="B124" s="5">
        <v>0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</row>
    <row r="125" spans="1:11">
      <c r="A125" s="6" t="s">
        <v>123</v>
      </c>
      <c r="B125" s="6">
        <v>0</v>
      </c>
      <c r="C125" s="6">
        <v>0</v>
      </c>
      <c r="D125" s="6">
        <v>0</v>
      </c>
      <c r="E125" s="6">
        <v>0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</row>
    <row r="126" spans="1:11">
      <c r="A126" s="5" t="s">
        <v>124</v>
      </c>
      <c r="B126" s="5">
        <v>0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</row>
    <row r="127" spans="1:11">
      <c r="A127" s="6" t="s">
        <v>125</v>
      </c>
      <c r="B127" s="6">
        <v>0</v>
      </c>
      <c r="C127" s="6">
        <v>0</v>
      </c>
      <c r="D127" s="6">
        <v>0</v>
      </c>
      <c r="E127" s="6">
        <v>0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</row>
    <row r="128" spans="1:11">
      <c r="A128" s="5" t="s">
        <v>126</v>
      </c>
      <c r="B128" s="5">
        <v>0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  <c r="I128" s="5">
        <v>0</v>
      </c>
      <c r="J128" s="5">
        <v>0</v>
      </c>
      <c r="K128" s="5">
        <v>0</v>
      </c>
    </row>
    <row r="129" spans="1:11">
      <c r="A129" s="6" t="s">
        <v>127</v>
      </c>
      <c r="B129" s="6">
        <v>0</v>
      </c>
      <c r="C129" s="6">
        <v>0</v>
      </c>
      <c r="D129" s="6">
        <v>0</v>
      </c>
      <c r="E129" s="6">
        <v>0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</row>
    <row r="130" spans="1:11">
      <c r="A130" s="5" t="s">
        <v>128</v>
      </c>
      <c r="B130" s="5">
        <v>66580.593999999997</v>
      </c>
      <c r="C130" s="5">
        <v>0</v>
      </c>
      <c r="D130" s="5">
        <v>0</v>
      </c>
      <c r="E130" s="5">
        <v>0</v>
      </c>
      <c r="F130" s="5">
        <v>0</v>
      </c>
      <c r="G130" s="5">
        <v>513573.75</v>
      </c>
      <c r="H130" s="5">
        <v>50000</v>
      </c>
      <c r="I130" s="5">
        <v>60906.192000000003</v>
      </c>
      <c r="J130" s="5">
        <v>2031200.89</v>
      </c>
      <c r="K130" s="5">
        <v>559341.00199999998</v>
      </c>
    </row>
    <row r="131" spans="1:11">
      <c r="A131" s="6" t="s">
        <v>129</v>
      </c>
      <c r="B131" s="6">
        <v>0</v>
      </c>
      <c r="C131" s="6">
        <v>0</v>
      </c>
      <c r="D131" s="6">
        <v>0</v>
      </c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</row>
    <row r="132" spans="1:11">
      <c r="A132" s="5" t="s">
        <v>130</v>
      </c>
      <c r="B132" s="5">
        <v>615.99900000000002</v>
      </c>
      <c r="C132" s="5">
        <v>374.96499999999997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</row>
    <row r="133" spans="1:11">
      <c r="A133" s="6" t="s">
        <v>131</v>
      </c>
      <c r="B133" s="6">
        <v>0</v>
      </c>
      <c r="C133" s="6">
        <v>0</v>
      </c>
      <c r="D133" s="6">
        <v>0</v>
      </c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</row>
    <row r="134" spans="1:11">
      <c r="A134" s="5" t="s">
        <v>132</v>
      </c>
      <c r="B134" s="5">
        <v>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  <c r="H134" s="5">
        <v>0</v>
      </c>
      <c r="I134" s="5">
        <v>0</v>
      </c>
      <c r="J134" s="5">
        <v>0</v>
      </c>
      <c r="K134" s="5">
        <v>0</v>
      </c>
    </row>
    <row r="135" spans="1:11">
      <c r="A135" s="7" t="s">
        <v>133</v>
      </c>
      <c r="B135" s="4">
        <f t="shared" ref="B135:K135" si="19">SUM(B123:B134)</f>
        <v>137835.41800000001</v>
      </c>
      <c r="C135" s="4">
        <f t="shared" si="19"/>
        <v>195970.61299999998</v>
      </c>
      <c r="D135" s="4">
        <f t="shared" si="19"/>
        <v>287378.78100000002</v>
      </c>
      <c r="E135" s="4">
        <f t="shared" si="19"/>
        <v>397149.56900000002</v>
      </c>
      <c r="F135" s="4">
        <f t="shared" si="19"/>
        <v>351519.13900000002</v>
      </c>
      <c r="G135" s="4">
        <f t="shared" si="19"/>
        <v>513573.75</v>
      </c>
      <c r="H135" s="4">
        <f t="shared" si="19"/>
        <v>878520.897</v>
      </c>
      <c r="I135" s="4">
        <f t="shared" si="19"/>
        <v>1694028.743</v>
      </c>
      <c r="J135" s="4">
        <f t="shared" si="19"/>
        <v>2420458.9950000001</v>
      </c>
      <c r="K135" s="4">
        <f t="shared" si="19"/>
        <v>559341.00199999998</v>
      </c>
    </row>
    <row r="136" spans="1:11">
      <c r="A136" s="5" t="s">
        <v>134</v>
      </c>
      <c r="B136" s="5">
        <v>26.754999999999999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s="5">
        <v>0</v>
      </c>
    </row>
    <row r="137" spans="1:11">
      <c r="A137" s="6" t="s">
        <v>135</v>
      </c>
      <c r="B137" s="6">
        <v>0</v>
      </c>
      <c r="C137" s="6">
        <v>0</v>
      </c>
      <c r="D137" s="6">
        <v>0</v>
      </c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</row>
    <row r="138" spans="1:11">
      <c r="A138" s="7" t="s">
        <v>136</v>
      </c>
      <c r="B138" s="4">
        <f t="shared" ref="B138:K138" si="20">SUM(B136:B137)</f>
        <v>26.754999999999999</v>
      </c>
      <c r="C138" s="4">
        <f t="shared" si="20"/>
        <v>0</v>
      </c>
      <c r="D138" s="4">
        <f t="shared" si="20"/>
        <v>0</v>
      </c>
      <c r="E138" s="4">
        <f t="shared" si="20"/>
        <v>0</v>
      </c>
      <c r="F138" s="4">
        <f t="shared" si="20"/>
        <v>0</v>
      </c>
      <c r="G138" s="4">
        <f t="shared" si="20"/>
        <v>0</v>
      </c>
      <c r="H138" s="4">
        <f t="shared" si="20"/>
        <v>0</v>
      </c>
      <c r="I138" s="4">
        <f t="shared" si="20"/>
        <v>0</v>
      </c>
      <c r="J138" s="4">
        <f t="shared" si="20"/>
        <v>0</v>
      </c>
      <c r="K138" s="4">
        <f t="shared" si="20"/>
        <v>0</v>
      </c>
    </row>
    <row r="139" spans="1:11">
      <c r="A139" s="6" t="s">
        <v>137</v>
      </c>
      <c r="B139" s="6">
        <v>28817.929</v>
      </c>
      <c r="C139" s="6">
        <v>34973.101000000002</v>
      </c>
      <c r="D139" s="6">
        <v>31170.337</v>
      </c>
      <c r="E139" s="6">
        <v>60249.722000000002</v>
      </c>
      <c r="F139" s="6">
        <v>69982.236999999994</v>
      </c>
      <c r="G139" s="6">
        <v>69955.082999999999</v>
      </c>
      <c r="H139" s="6">
        <v>74923.508000000002</v>
      </c>
      <c r="I139" s="6">
        <v>327650.38500000001</v>
      </c>
      <c r="J139" s="6">
        <v>298132.07400000002</v>
      </c>
      <c r="K139" s="6">
        <v>968333.34199999995</v>
      </c>
    </row>
    <row r="140" spans="1:11">
      <c r="A140" s="7" t="s">
        <v>138</v>
      </c>
      <c r="B140" s="4">
        <f t="shared" ref="B140:K140" si="21">+B139</f>
        <v>28817.929</v>
      </c>
      <c r="C140" s="4">
        <f t="shared" si="21"/>
        <v>34973.101000000002</v>
      </c>
      <c r="D140" s="4">
        <f t="shared" si="21"/>
        <v>31170.337</v>
      </c>
      <c r="E140" s="4">
        <f t="shared" si="21"/>
        <v>60249.722000000002</v>
      </c>
      <c r="F140" s="4">
        <f t="shared" si="21"/>
        <v>69982.236999999994</v>
      </c>
      <c r="G140" s="4">
        <f t="shared" si="21"/>
        <v>69955.082999999999</v>
      </c>
      <c r="H140" s="4">
        <f t="shared" si="21"/>
        <v>74923.508000000002</v>
      </c>
      <c r="I140" s="4">
        <f t="shared" si="21"/>
        <v>327650.38500000001</v>
      </c>
      <c r="J140" s="4">
        <f t="shared" si="21"/>
        <v>298132.07400000002</v>
      </c>
      <c r="K140" s="4">
        <f t="shared" si="21"/>
        <v>968333.34199999995</v>
      </c>
    </row>
    <row r="141" spans="1:11">
      <c r="A141" s="6" t="s">
        <v>139</v>
      </c>
      <c r="B141" s="6">
        <v>0</v>
      </c>
      <c r="C141" s="6">
        <v>0</v>
      </c>
      <c r="D141" s="6">
        <v>0</v>
      </c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</row>
    <row r="142" spans="1:11">
      <c r="A142" s="5" t="s">
        <v>140</v>
      </c>
      <c r="B142" s="5">
        <v>8.8539999999999992</v>
      </c>
      <c r="C142" s="5">
        <v>2.71</v>
      </c>
      <c r="D142" s="5">
        <v>244.31299999999999</v>
      </c>
      <c r="E142" s="5">
        <v>16.763999999999999</v>
      </c>
      <c r="F142" s="5">
        <v>97.444000000000003</v>
      </c>
      <c r="G142" s="5">
        <v>1428.095</v>
      </c>
      <c r="H142" s="5">
        <v>432.83699999999999</v>
      </c>
      <c r="I142" s="5">
        <v>14494.111999999999</v>
      </c>
      <c r="J142" s="5">
        <v>15981.266</v>
      </c>
      <c r="K142" s="5">
        <v>129366.49</v>
      </c>
    </row>
    <row r="143" spans="1:11">
      <c r="A143" s="6" t="s">
        <v>141</v>
      </c>
      <c r="B143" s="6">
        <v>8907.91</v>
      </c>
      <c r="C143" s="6">
        <v>12305.418</v>
      </c>
      <c r="D143" s="6">
        <v>28379.144</v>
      </c>
      <c r="E143" s="6">
        <v>32065.398000000001</v>
      </c>
      <c r="F143" s="6">
        <v>28938.883999999998</v>
      </c>
      <c r="G143" s="6">
        <v>40417.360999999997</v>
      </c>
      <c r="H143" s="6">
        <v>53025.264999999999</v>
      </c>
      <c r="I143" s="6">
        <v>762189.429</v>
      </c>
      <c r="J143" s="6">
        <v>840323.37</v>
      </c>
      <c r="K143" s="6">
        <v>350538.82199999999</v>
      </c>
    </row>
    <row r="144" spans="1:11">
      <c r="A144" s="5" t="s">
        <v>142</v>
      </c>
      <c r="B144" s="5">
        <v>0</v>
      </c>
      <c r="C144" s="5">
        <v>17300.327000000001</v>
      </c>
      <c r="D144" s="5">
        <v>22459.636999999999</v>
      </c>
      <c r="E144" s="5">
        <v>26361.579000000002</v>
      </c>
      <c r="F144" s="5">
        <v>37088.118000000002</v>
      </c>
      <c r="G144" s="5">
        <v>56454.760999999999</v>
      </c>
      <c r="H144" s="5">
        <v>67818.55</v>
      </c>
      <c r="I144" s="5">
        <v>242565.55</v>
      </c>
      <c r="J144" s="5">
        <v>454629.326</v>
      </c>
      <c r="K144" s="5">
        <v>237293.87899999999</v>
      </c>
    </row>
    <row r="145" spans="1:11">
      <c r="A145" s="6" t="s">
        <v>143</v>
      </c>
      <c r="B145" s="6">
        <v>0</v>
      </c>
      <c r="C145" s="6">
        <v>0</v>
      </c>
      <c r="D145" s="6">
        <v>0</v>
      </c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</row>
    <row r="146" spans="1:11">
      <c r="A146" s="5" t="s">
        <v>144</v>
      </c>
      <c r="B146" s="5">
        <v>0</v>
      </c>
      <c r="C146" s="5">
        <v>3000.6329999999998</v>
      </c>
      <c r="D146" s="5">
        <v>1612.73</v>
      </c>
      <c r="E146" s="5">
        <v>4232.6450000000004</v>
      </c>
      <c r="F146" s="5">
        <v>1883.2329999999999</v>
      </c>
      <c r="G146" s="5">
        <v>3078.212</v>
      </c>
      <c r="H146" s="5">
        <v>3821.049</v>
      </c>
      <c r="I146" s="5">
        <v>45724.59</v>
      </c>
      <c r="J146" s="5">
        <v>24902.275000000001</v>
      </c>
      <c r="K146" s="5">
        <v>49800.336000000003</v>
      </c>
    </row>
    <row r="147" spans="1:11">
      <c r="A147" s="6" t="s">
        <v>145</v>
      </c>
      <c r="B147" s="6">
        <v>0</v>
      </c>
      <c r="C147" s="6">
        <v>0</v>
      </c>
      <c r="D147" s="6">
        <v>0</v>
      </c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</row>
    <row r="148" spans="1:11">
      <c r="A148" s="5" t="s">
        <v>146</v>
      </c>
      <c r="B148" s="5">
        <v>0</v>
      </c>
      <c r="C148" s="5">
        <v>0</v>
      </c>
      <c r="D148" s="5">
        <v>2801.2539999999999</v>
      </c>
      <c r="E148" s="5">
        <v>2006.578</v>
      </c>
      <c r="F148" s="5">
        <v>2623.6709999999998</v>
      </c>
      <c r="G148" s="5">
        <v>1662.105</v>
      </c>
      <c r="H148" s="5">
        <v>4254.51</v>
      </c>
      <c r="I148" s="5">
        <v>17286.121999999999</v>
      </c>
      <c r="J148" s="5">
        <v>34100.006999999998</v>
      </c>
      <c r="K148" s="5">
        <v>27460.11</v>
      </c>
    </row>
    <row r="149" spans="1:11">
      <c r="A149" s="6" t="s">
        <v>147</v>
      </c>
      <c r="B149" s="6">
        <v>0</v>
      </c>
      <c r="C149" s="6">
        <v>0</v>
      </c>
      <c r="D149" s="6">
        <v>0</v>
      </c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</row>
    <row r="150" spans="1:11">
      <c r="A150" s="5" t="s">
        <v>148</v>
      </c>
      <c r="B150" s="5">
        <v>2170.94</v>
      </c>
      <c r="C150" s="5">
        <v>2241.7660000000001</v>
      </c>
      <c r="D150" s="5">
        <v>2338.9059999999999</v>
      </c>
      <c r="E150" s="5">
        <v>438.34100000000001</v>
      </c>
      <c r="F150" s="5">
        <v>5454.3980000000001</v>
      </c>
      <c r="G150" s="5">
        <v>0</v>
      </c>
      <c r="H150" s="5">
        <v>7142.7610000000004</v>
      </c>
      <c r="I150" s="5">
        <v>0</v>
      </c>
      <c r="J150" s="5">
        <v>0</v>
      </c>
      <c r="K150" s="5">
        <v>56832.031999999999</v>
      </c>
    </row>
    <row r="151" spans="1:11">
      <c r="A151" s="6" t="s">
        <v>149</v>
      </c>
      <c r="B151" s="6">
        <v>0</v>
      </c>
      <c r="C151" s="6">
        <v>0</v>
      </c>
      <c r="D151" s="6">
        <v>0</v>
      </c>
      <c r="E151" s="6">
        <v>0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  <c r="K151" s="6">
        <v>0</v>
      </c>
    </row>
    <row r="152" spans="1:11">
      <c r="A152" s="5" t="s">
        <v>150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  <c r="H152" s="5">
        <v>0</v>
      </c>
      <c r="I152" s="5">
        <v>0</v>
      </c>
      <c r="J152" s="5">
        <v>0</v>
      </c>
      <c r="K152" s="5">
        <v>0</v>
      </c>
    </row>
    <row r="153" spans="1:11">
      <c r="A153" s="6" t="s">
        <v>151</v>
      </c>
      <c r="B153" s="6">
        <v>0</v>
      </c>
      <c r="C153" s="6">
        <v>0</v>
      </c>
      <c r="D153" s="6">
        <v>0</v>
      </c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</row>
    <row r="154" spans="1:11">
      <c r="A154" s="5" t="s">
        <v>152</v>
      </c>
      <c r="B154" s="5">
        <v>10.148</v>
      </c>
      <c r="C154" s="5">
        <v>74.266999999999996</v>
      </c>
      <c r="D154" s="5">
        <v>131.91499999999999</v>
      </c>
      <c r="E154" s="5">
        <v>4473.9939999999997</v>
      </c>
      <c r="F154" s="5">
        <v>6014.4229999999998</v>
      </c>
      <c r="G154" s="5">
        <v>4304.7979999999998</v>
      </c>
      <c r="H154" s="5">
        <v>12495.32</v>
      </c>
      <c r="I154" s="5">
        <v>20214.02</v>
      </c>
      <c r="J154" s="5">
        <v>40475.231</v>
      </c>
      <c r="K154" s="5">
        <v>64225.24</v>
      </c>
    </row>
    <row r="155" spans="1:11">
      <c r="A155" s="6" t="s">
        <v>153</v>
      </c>
      <c r="B155" s="6">
        <v>0</v>
      </c>
      <c r="C155" s="6">
        <v>0</v>
      </c>
      <c r="D155" s="6">
        <v>0</v>
      </c>
      <c r="E155" s="6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</row>
    <row r="156" spans="1:11">
      <c r="A156" s="5" t="s">
        <v>154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  <c r="I156" s="5">
        <v>0</v>
      </c>
      <c r="J156" s="5">
        <v>0</v>
      </c>
      <c r="K156" s="5">
        <v>54641.855000000003</v>
      </c>
    </row>
    <row r="157" spans="1:11">
      <c r="A157" s="6" t="s">
        <v>155</v>
      </c>
      <c r="B157" s="6">
        <v>0</v>
      </c>
      <c r="C157" s="6">
        <v>0</v>
      </c>
      <c r="D157" s="6">
        <v>0</v>
      </c>
      <c r="E157" s="6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</row>
    <row r="158" spans="1:11">
      <c r="A158" s="7" t="s">
        <v>140</v>
      </c>
      <c r="B158" s="4">
        <f t="shared" ref="B158:K158" si="22">SUM(B141:B157)</f>
        <v>11097.851999999999</v>
      </c>
      <c r="C158" s="4">
        <f t="shared" si="22"/>
        <v>34925.121000000006</v>
      </c>
      <c r="D158" s="4">
        <f t="shared" si="22"/>
        <v>57967.899000000005</v>
      </c>
      <c r="E158" s="4">
        <f t="shared" si="22"/>
        <v>69595.298999999999</v>
      </c>
      <c r="F158" s="4">
        <f t="shared" si="22"/>
        <v>82100.170999999988</v>
      </c>
      <c r="G158" s="4">
        <f t="shared" si="22"/>
        <v>107345.33199999999</v>
      </c>
      <c r="H158" s="4">
        <f t="shared" si="22"/>
        <v>148990.29200000002</v>
      </c>
      <c r="I158" s="4">
        <f t="shared" si="22"/>
        <v>1102473.8230000001</v>
      </c>
      <c r="J158" s="4">
        <f t="shared" si="22"/>
        <v>1410411.4749999996</v>
      </c>
      <c r="K158" s="4">
        <f t="shared" si="22"/>
        <v>970158.76399999997</v>
      </c>
    </row>
    <row r="159" spans="1:11">
      <c r="A159" s="6" t="s">
        <v>156</v>
      </c>
      <c r="B159" s="6">
        <v>303659.28600000002</v>
      </c>
      <c r="C159" s="6">
        <v>271021.46600000001</v>
      </c>
      <c r="D159" s="6">
        <v>393313.11</v>
      </c>
      <c r="E159" s="6">
        <v>557279.96100000001</v>
      </c>
      <c r="F159" s="6">
        <v>642927.65899999999</v>
      </c>
      <c r="G159" s="6">
        <v>474050.011</v>
      </c>
      <c r="H159" s="6">
        <v>1003692.899</v>
      </c>
      <c r="I159" s="6">
        <v>2540531.6189999999</v>
      </c>
      <c r="J159" s="6">
        <v>3775210.0720000002</v>
      </c>
      <c r="K159" s="6">
        <v>5292240.0829999996</v>
      </c>
    </row>
    <row r="160" spans="1:11">
      <c r="A160" s="5" t="s">
        <v>157</v>
      </c>
      <c r="B160" s="5">
        <v>864.55499999999995</v>
      </c>
      <c r="C160" s="5">
        <v>140.327</v>
      </c>
      <c r="D160" s="5">
        <v>0</v>
      </c>
      <c r="E160" s="5">
        <v>0</v>
      </c>
      <c r="F160" s="5">
        <v>0</v>
      </c>
      <c r="G160" s="5">
        <v>21.707999999999998</v>
      </c>
      <c r="H160" s="5">
        <v>42.094000000000001</v>
      </c>
      <c r="I160" s="5">
        <v>0</v>
      </c>
      <c r="J160" s="5">
        <v>0</v>
      </c>
      <c r="K160" s="5">
        <v>0</v>
      </c>
    </row>
    <row r="161" spans="1:11">
      <c r="A161" s="6" t="s">
        <v>158</v>
      </c>
      <c r="B161" s="6">
        <v>0</v>
      </c>
      <c r="C161" s="6">
        <v>0</v>
      </c>
      <c r="D161" s="6">
        <v>0</v>
      </c>
      <c r="E161" s="6">
        <v>0</v>
      </c>
      <c r="F161" s="6">
        <v>0</v>
      </c>
      <c r="G161" s="6">
        <v>0</v>
      </c>
      <c r="H161" s="6">
        <v>0</v>
      </c>
      <c r="I161" s="6">
        <v>0</v>
      </c>
      <c r="J161" s="6">
        <v>0</v>
      </c>
      <c r="K161" s="6">
        <v>0</v>
      </c>
    </row>
    <row r="162" spans="1:11">
      <c r="A162" s="5" t="s">
        <v>159</v>
      </c>
      <c r="B162" s="5">
        <v>7346.1049999999996</v>
      </c>
      <c r="C162" s="5">
        <v>5462.3590000000004</v>
      </c>
      <c r="D162" s="5">
        <v>8465.7150000000001</v>
      </c>
      <c r="E162" s="5">
        <v>29267.378000000001</v>
      </c>
      <c r="F162" s="5">
        <v>36014.012000000002</v>
      </c>
      <c r="G162" s="5">
        <v>42545.993999999999</v>
      </c>
      <c r="H162" s="5">
        <v>58002.146999999997</v>
      </c>
      <c r="I162" s="5">
        <v>119560.5</v>
      </c>
      <c r="J162" s="5">
        <v>84095.71</v>
      </c>
      <c r="K162" s="5">
        <v>120882.355</v>
      </c>
    </row>
    <row r="163" spans="1:11">
      <c r="A163" s="7" t="s">
        <v>160</v>
      </c>
      <c r="B163" s="4">
        <f t="shared" ref="B163:K163" si="23">SUM(B159:B162)</f>
        <v>311869.946</v>
      </c>
      <c r="C163" s="4">
        <f t="shared" si="23"/>
        <v>276624.152</v>
      </c>
      <c r="D163" s="4">
        <f t="shared" si="23"/>
        <v>401778.82500000001</v>
      </c>
      <c r="E163" s="4">
        <f t="shared" si="23"/>
        <v>586547.33900000004</v>
      </c>
      <c r="F163" s="4">
        <f t="shared" si="23"/>
        <v>678941.67099999997</v>
      </c>
      <c r="G163" s="4">
        <f t="shared" si="23"/>
        <v>516617.71299999999</v>
      </c>
      <c r="H163" s="4">
        <f t="shared" si="23"/>
        <v>1061737.1400000001</v>
      </c>
      <c r="I163" s="4">
        <f t="shared" si="23"/>
        <v>2660092.1189999999</v>
      </c>
      <c r="J163" s="4">
        <f t="shared" si="23"/>
        <v>3859305.7820000001</v>
      </c>
      <c r="K163" s="4">
        <f t="shared" si="23"/>
        <v>5413122.4380000001</v>
      </c>
    </row>
    <row r="164" spans="1:11">
      <c r="A164" s="5" t="s">
        <v>161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  <c r="H164" s="5">
        <v>0</v>
      </c>
      <c r="I164" s="5">
        <v>0</v>
      </c>
      <c r="J164" s="5">
        <v>0</v>
      </c>
      <c r="K164" s="5">
        <v>0</v>
      </c>
    </row>
    <row r="165" spans="1:11">
      <c r="A165" s="6" t="s">
        <v>162</v>
      </c>
      <c r="B165" s="6">
        <v>0</v>
      </c>
      <c r="C165" s="6">
        <v>0</v>
      </c>
      <c r="D165" s="6">
        <v>0</v>
      </c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</row>
    <row r="166" spans="1:11">
      <c r="A166" s="5" t="s">
        <v>163</v>
      </c>
      <c r="B166" s="5">
        <v>-72845.944000000003</v>
      </c>
      <c r="C166" s="5">
        <v>217370.45499999999</v>
      </c>
      <c r="D166" s="5">
        <v>266663.255</v>
      </c>
      <c r="E166" s="5">
        <v>334847.05300000001</v>
      </c>
      <c r="F166" s="5">
        <v>433683.25300000003</v>
      </c>
      <c r="G166" s="5">
        <v>287484.18300000002</v>
      </c>
      <c r="H166" s="5">
        <v>555162.15599999996</v>
      </c>
      <c r="I166" s="5">
        <v>1329624.4339999999</v>
      </c>
      <c r="J166" s="5">
        <v>2104177.7259999998</v>
      </c>
      <c r="K166" s="5">
        <v>3116607.7740000002</v>
      </c>
    </row>
    <row r="167" spans="1:11">
      <c r="A167" s="6" t="s">
        <v>164</v>
      </c>
      <c r="B167" s="6">
        <v>0</v>
      </c>
      <c r="C167" s="6">
        <v>0</v>
      </c>
      <c r="D167" s="6">
        <v>0</v>
      </c>
      <c r="E167" s="6">
        <v>0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</row>
    <row r="168" spans="1:11">
      <c r="A168" s="5" t="s">
        <v>165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  <c r="I168" s="5">
        <v>0</v>
      </c>
      <c r="J168" s="5">
        <v>0</v>
      </c>
      <c r="K168" s="5">
        <v>0</v>
      </c>
    </row>
    <row r="169" spans="1:11">
      <c r="A169" s="7" t="s">
        <v>166</v>
      </c>
      <c r="B169" s="4">
        <f t="shared" ref="B169:K169" si="24">SUM(B166:B168)-SUM(B164:B165)</f>
        <v>-72845.944000000003</v>
      </c>
      <c r="C169" s="4">
        <f t="shared" si="24"/>
        <v>217370.45499999999</v>
      </c>
      <c r="D169" s="4">
        <f t="shared" si="24"/>
        <v>266663.255</v>
      </c>
      <c r="E169" s="4">
        <f t="shared" si="24"/>
        <v>334847.05300000001</v>
      </c>
      <c r="F169" s="4">
        <f t="shared" si="24"/>
        <v>433683.25300000003</v>
      </c>
      <c r="G169" s="4">
        <f t="shared" si="24"/>
        <v>287484.18300000002</v>
      </c>
      <c r="H169" s="4">
        <f t="shared" si="24"/>
        <v>555162.15599999996</v>
      </c>
      <c r="I169" s="4">
        <f t="shared" si="24"/>
        <v>1329624.4339999999</v>
      </c>
      <c r="J169" s="4">
        <f t="shared" si="24"/>
        <v>2104177.7259999998</v>
      </c>
      <c r="K169" s="4">
        <f t="shared" si="24"/>
        <v>3116607.7740000002</v>
      </c>
    </row>
    <row r="170" spans="1:11">
      <c r="A170" s="7" t="s">
        <v>167</v>
      </c>
      <c r="B170" s="4">
        <f t="shared" ref="B170:K170" si="25">+B163-B169</f>
        <v>384715.89</v>
      </c>
      <c r="C170" s="4">
        <f t="shared" si="25"/>
        <v>59253.697000000015</v>
      </c>
      <c r="D170" s="4">
        <f t="shared" si="25"/>
        <v>135115.57</v>
      </c>
      <c r="E170" s="4">
        <f t="shared" si="25"/>
        <v>251700.28600000002</v>
      </c>
      <c r="F170" s="4">
        <f t="shared" si="25"/>
        <v>245258.41799999995</v>
      </c>
      <c r="G170" s="4">
        <f t="shared" si="25"/>
        <v>229133.52999999997</v>
      </c>
      <c r="H170" s="4">
        <f t="shared" si="25"/>
        <v>506574.98400000017</v>
      </c>
      <c r="I170" s="4">
        <f t="shared" si="25"/>
        <v>1330467.6850000001</v>
      </c>
      <c r="J170" s="4">
        <f t="shared" si="25"/>
        <v>1755128.0560000003</v>
      </c>
      <c r="K170" s="4">
        <f t="shared" si="25"/>
        <v>2296514.6639999999</v>
      </c>
    </row>
    <row r="171" spans="1:11">
      <c r="A171" s="6" t="s">
        <v>168</v>
      </c>
      <c r="B171" s="6">
        <v>0</v>
      </c>
      <c r="C171" s="6">
        <v>0</v>
      </c>
      <c r="D171" s="6">
        <v>0</v>
      </c>
      <c r="E171" s="6">
        <v>0</v>
      </c>
      <c r="F171" s="6">
        <v>0</v>
      </c>
      <c r="G171" s="6">
        <v>0</v>
      </c>
      <c r="H171" s="6">
        <v>0</v>
      </c>
      <c r="I171" s="6">
        <v>0</v>
      </c>
      <c r="J171" s="6">
        <v>0</v>
      </c>
      <c r="K171" s="6">
        <v>0</v>
      </c>
    </row>
    <row r="172" spans="1:11">
      <c r="A172" s="5" t="s">
        <v>169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  <c r="I172" s="5">
        <v>0</v>
      </c>
      <c r="J172" s="5">
        <v>0</v>
      </c>
      <c r="K172" s="5">
        <v>0</v>
      </c>
    </row>
    <row r="173" spans="1:11">
      <c r="A173" s="6" t="s">
        <v>170</v>
      </c>
      <c r="B173" s="6">
        <v>0</v>
      </c>
      <c r="C173" s="6">
        <v>0</v>
      </c>
      <c r="D173" s="6">
        <v>0</v>
      </c>
      <c r="E173" s="6">
        <v>0</v>
      </c>
      <c r="F173" s="6">
        <v>0</v>
      </c>
      <c r="G173" s="6">
        <v>0</v>
      </c>
      <c r="H173" s="6">
        <v>0</v>
      </c>
      <c r="I173" s="6">
        <v>0</v>
      </c>
      <c r="J173" s="6">
        <v>0</v>
      </c>
      <c r="K173" s="6">
        <v>0</v>
      </c>
    </row>
    <row r="174" spans="1:11">
      <c r="A174" s="5" t="s">
        <v>171</v>
      </c>
      <c r="B174" s="5">
        <v>11175.184999999999</v>
      </c>
      <c r="C174" s="5">
        <v>23410.291000000001</v>
      </c>
      <c r="D174" s="5">
        <v>20497.492999999999</v>
      </c>
      <c r="E174" s="5">
        <v>22334.395</v>
      </c>
      <c r="F174" s="5">
        <v>27348.896000000001</v>
      </c>
      <c r="G174" s="5">
        <v>48962.758000000002</v>
      </c>
      <c r="H174" s="5">
        <v>42783.459000000003</v>
      </c>
      <c r="I174" s="5">
        <v>80176.095000000001</v>
      </c>
      <c r="J174" s="5">
        <v>151638.23199999999</v>
      </c>
      <c r="K174" s="5">
        <v>295267.929</v>
      </c>
    </row>
    <row r="175" spans="1:11">
      <c r="A175" s="6" t="s">
        <v>172</v>
      </c>
      <c r="B175" s="6">
        <v>10515.135</v>
      </c>
      <c r="C175" s="6">
        <v>12617.457</v>
      </c>
      <c r="D175" s="6">
        <v>17824.21</v>
      </c>
      <c r="E175" s="6">
        <v>21653.956999999999</v>
      </c>
      <c r="F175" s="6">
        <v>26562.743999999999</v>
      </c>
      <c r="G175" s="6">
        <v>24353.662</v>
      </c>
      <c r="H175" s="6">
        <v>39431.637000000002</v>
      </c>
      <c r="I175" s="6">
        <v>80309.501999999993</v>
      </c>
      <c r="J175" s="6">
        <v>201365.921</v>
      </c>
      <c r="K175" s="6">
        <v>324258.60700000002</v>
      </c>
    </row>
    <row r="176" spans="1:11">
      <c r="A176" s="5" t="s">
        <v>173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  <c r="H176" s="5">
        <v>0</v>
      </c>
      <c r="I176" s="5">
        <v>0</v>
      </c>
      <c r="J176" s="5">
        <v>0</v>
      </c>
      <c r="K176" s="5">
        <v>0</v>
      </c>
    </row>
    <row r="177" spans="1:11">
      <c r="A177" s="6" t="s">
        <v>174</v>
      </c>
      <c r="B177" s="6">
        <v>0</v>
      </c>
      <c r="C177" s="6">
        <v>0</v>
      </c>
      <c r="D177" s="6">
        <v>0</v>
      </c>
      <c r="E177" s="6">
        <v>0</v>
      </c>
      <c r="F177" s="6">
        <v>0</v>
      </c>
      <c r="G177" s="6">
        <v>0</v>
      </c>
      <c r="H177" s="6">
        <v>0</v>
      </c>
      <c r="I177" s="6">
        <v>0</v>
      </c>
      <c r="J177" s="6">
        <v>0</v>
      </c>
      <c r="K177" s="6">
        <v>0</v>
      </c>
    </row>
    <row r="178" spans="1:11">
      <c r="A178" s="5" t="s">
        <v>175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  <c r="H178" s="5">
        <v>0</v>
      </c>
      <c r="I178" s="5">
        <v>0</v>
      </c>
      <c r="J178" s="5">
        <v>0</v>
      </c>
      <c r="K178" s="5">
        <v>0</v>
      </c>
    </row>
    <row r="179" spans="1:11">
      <c r="A179" s="6" t="s">
        <v>176</v>
      </c>
      <c r="B179" s="6">
        <v>0</v>
      </c>
      <c r="C179" s="6">
        <v>0</v>
      </c>
      <c r="D179" s="6">
        <v>0</v>
      </c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</row>
    <row r="180" spans="1:11">
      <c r="A180" s="5" t="s">
        <v>177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  <c r="H180" s="5">
        <v>0</v>
      </c>
      <c r="I180" s="5">
        <v>0</v>
      </c>
      <c r="J180" s="5">
        <v>0</v>
      </c>
      <c r="K180" s="5">
        <v>0</v>
      </c>
    </row>
    <row r="181" spans="1:11">
      <c r="A181" s="6" t="s">
        <v>178</v>
      </c>
      <c r="B181" s="6">
        <v>-3080.4540000000002</v>
      </c>
      <c r="C181" s="6">
        <v>-3301.8939999999998</v>
      </c>
      <c r="D181" s="6">
        <v>-988.58100000000002</v>
      </c>
      <c r="E181" s="6">
        <v>-5189.9709999999995</v>
      </c>
      <c r="F181" s="6">
        <v>-7137.1890000000003</v>
      </c>
      <c r="G181" s="6">
        <v>-6890.6</v>
      </c>
      <c r="H181" s="6">
        <v>-8717.2669999999998</v>
      </c>
      <c r="I181" s="6">
        <v>-14968.906999999999</v>
      </c>
      <c r="J181" s="6">
        <v>-22202.052</v>
      </c>
      <c r="K181" s="6">
        <v>-113411.31299999999</v>
      </c>
    </row>
    <row r="182" spans="1:11">
      <c r="A182" s="5" t="s">
        <v>179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  <c r="H182" s="5">
        <v>0</v>
      </c>
      <c r="I182" s="5">
        <v>0</v>
      </c>
      <c r="J182" s="5">
        <v>0</v>
      </c>
      <c r="K182" s="5">
        <v>0</v>
      </c>
    </row>
    <row r="183" spans="1:11">
      <c r="A183" s="6" t="s">
        <v>180</v>
      </c>
      <c r="B183" s="6">
        <v>0</v>
      </c>
      <c r="C183" s="6">
        <v>0</v>
      </c>
      <c r="D183" s="6">
        <v>0</v>
      </c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</row>
    <row r="184" spans="1:11">
      <c r="A184" s="5" t="s">
        <v>181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  <c r="H184" s="5">
        <v>0</v>
      </c>
      <c r="I184" s="5">
        <v>0</v>
      </c>
      <c r="J184" s="5">
        <v>0</v>
      </c>
      <c r="K184" s="5">
        <v>0</v>
      </c>
    </row>
    <row r="185" spans="1:11">
      <c r="A185" s="6" t="s">
        <v>182</v>
      </c>
      <c r="B185" s="6">
        <v>0</v>
      </c>
      <c r="C185" s="6">
        <v>0</v>
      </c>
      <c r="D185" s="6">
        <v>0</v>
      </c>
      <c r="E185" s="6">
        <v>0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6">
        <v>0</v>
      </c>
    </row>
    <row r="186" spans="1:11">
      <c r="A186" s="5" t="s">
        <v>183</v>
      </c>
      <c r="B186" s="5">
        <v>0</v>
      </c>
      <c r="C186" s="5">
        <v>0</v>
      </c>
      <c r="D186" s="5">
        <v>587.54300000000001</v>
      </c>
      <c r="E186" s="5">
        <v>480.88499999999999</v>
      </c>
      <c r="F186" s="5">
        <v>379.96800000000002</v>
      </c>
      <c r="G186" s="5">
        <v>625.65800000000002</v>
      </c>
      <c r="H186" s="5">
        <v>4439.4210000000003</v>
      </c>
      <c r="I186" s="5">
        <v>1875.683</v>
      </c>
      <c r="J186" s="5">
        <v>8299.3029999999999</v>
      </c>
      <c r="K186" s="5">
        <v>7871.3639999999996</v>
      </c>
    </row>
    <row r="187" spans="1:11">
      <c r="A187" s="6" t="s">
        <v>184</v>
      </c>
      <c r="B187" s="6">
        <v>0</v>
      </c>
      <c r="C187" s="6">
        <v>0</v>
      </c>
      <c r="D187" s="6">
        <v>0</v>
      </c>
      <c r="E187" s="6">
        <v>0</v>
      </c>
      <c r="F187" s="6">
        <v>0</v>
      </c>
      <c r="G187" s="6">
        <v>0</v>
      </c>
      <c r="H187" s="6">
        <v>0</v>
      </c>
      <c r="I187" s="6">
        <v>0</v>
      </c>
      <c r="J187" s="6">
        <v>0</v>
      </c>
      <c r="K187" s="6">
        <v>0</v>
      </c>
    </row>
    <row r="188" spans="1:11">
      <c r="A188" s="5" t="s">
        <v>185</v>
      </c>
      <c r="B188" s="5">
        <v>72845.944000000003</v>
      </c>
      <c r="C188" s="5">
        <v>77870.573999999993</v>
      </c>
      <c r="D188" s="5">
        <v>86275.353000000003</v>
      </c>
      <c r="E188" s="5">
        <v>113849.38</v>
      </c>
      <c r="F188" s="5">
        <v>116142.989</v>
      </c>
      <c r="G188" s="5">
        <v>126051.469</v>
      </c>
      <c r="H188" s="5">
        <v>146979.57999999999</v>
      </c>
      <c r="I188" s="5">
        <v>653100.47499999998</v>
      </c>
      <c r="J188" s="5">
        <v>773576.36300000001</v>
      </c>
      <c r="K188" s="5">
        <v>1044005.874</v>
      </c>
    </row>
    <row r="189" spans="1:11">
      <c r="A189" s="6" t="s">
        <v>186</v>
      </c>
      <c r="B189" s="6">
        <v>0</v>
      </c>
      <c r="C189" s="6">
        <v>0</v>
      </c>
      <c r="D189" s="6">
        <v>0</v>
      </c>
      <c r="E189" s="6">
        <v>0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>
        <v>0</v>
      </c>
    </row>
    <row r="190" spans="1:11">
      <c r="A190" s="5" t="s">
        <v>187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  <c r="H190" s="5">
        <v>0</v>
      </c>
      <c r="I190" s="5">
        <v>0</v>
      </c>
      <c r="J190" s="5">
        <v>0</v>
      </c>
      <c r="K190" s="5">
        <v>0</v>
      </c>
    </row>
    <row r="191" spans="1:11">
      <c r="A191" s="6" t="s">
        <v>188</v>
      </c>
      <c r="B191" s="6">
        <v>0</v>
      </c>
      <c r="C191" s="6">
        <v>0</v>
      </c>
      <c r="D191" s="6">
        <v>0</v>
      </c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</row>
    <row r="192" spans="1:11">
      <c r="A192" s="5" t="s">
        <v>189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  <c r="H192" s="5">
        <v>0</v>
      </c>
      <c r="I192" s="5">
        <v>0</v>
      </c>
      <c r="J192" s="5">
        <v>0</v>
      </c>
      <c r="K192" s="5">
        <v>0</v>
      </c>
    </row>
    <row r="193" spans="1:11">
      <c r="A193" s="7" t="s">
        <v>190</v>
      </c>
      <c r="B193" s="4">
        <f t="shared" ref="B193:K193" si="26">SUM(B170:B173)-SUM(B174:B192)</f>
        <v>293260.08</v>
      </c>
      <c r="C193" s="4">
        <f t="shared" si="26"/>
        <v>-51342.730999999971</v>
      </c>
      <c r="D193" s="4">
        <f t="shared" si="26"/>
        <v>10919.552000000011</v>
      </c>
      <c r="E193" s="4">
        <f t="shared" si="26"/>
        <v>98571.640000000014</v>
      </c>
      <c r="F193" s="4">
        <f t="shared" si="26"/>
        <v>81961.009999999951</v>
      </c>
      <c r="G193" s="4">
        <f t="shared" si="26"/>
        <v>36030.582999999984</v>
      </c>
      <c r="H193" s="4">
        <f t="shared" si="26"/>
        <v>281658.15400000021</v>
      </c>
      <c r="I193" s="4">
        <f t="shared" si="26"/>
        <v>529974.83700000006</v>
      </c>
      <c r="J193" s="4">
        <f t="shared" si="26"/>
        <v>642450.28900000034</v>
      </c>
      <c r="K193" s="4">
        <f t="shared" si="26"/>
        <v>738522.20299999975</v>
      </c>
    </row>
    <row r="194" spans="1:11">
      <c r="A194" s="5" t="s">
        <v>191</v>
      </c>
      <c r="B194" s="5">
        <v>892.04600000000005</v>
      </c>
      <c r="C194" s="5">
        <v>1452.0530000000001</v>
      </c>
      <c r="D194" s="5">
        <v>1422.3869999999999</v>
      </c>
      <c r="E194" s="5">
        <v>3915.5450000000001</v>
      </c>
      <c r="F194" s="5">
        <v>4017.498</v>
      </c>
      <c r="G194" s="5">
        <v>8296.9189999999999</v>
      </c>
      <c r="H194" s="5">
        <v>4856.3109999999997</v>
      </c>
      <c r="I194" s="5">
        <v>13528.357</v>
      </c>
      <c r="J194" s="5">
        <v>63422.794000000002</v>
      </c>
      <c r="K194" s="5">
        <v>1281241.1980000001</v>
      </c>
    </row>
    <row r="195" spans="1:11">
      <c r="A195" s="6" t="s">
        <v>192</v>
      </c>
      <c r="B195" s="6">
        <v>10715.751</v>
      </c>
      <c r="C195" s="6">
        <v>10779.213</v>
      </c>
      <c r="D195" s="6">
        <v>24800.598999999998</v>
      </c>
      <c r="E195" s="6">
        <v>25746.896000000001</v>
      </c>
      <c r="F195" s="6">
        <v>51377.701000000001</v>
      </c>
      <c r="G195" s="6">
        <v>96718.956000000006</v>
      </c>
      <c r="H195" s="6">
        <v>112284.451</v>
      </c>
      <c r="I195" s="6">
        <v>181875.11900000001</v>
      </c>
      <c r="J195" s="6">
        <v>354364.14899999998</v>
      </c>
      <c r="K195" s="6">
        <v>753089.69499999995</v>
      </c>
    </row>
    <row r="196" spans="1:11">
      <c r="A196" s="5" t="s">
        <v>193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  <c r="H196" s="5">
        <v>0</v>
      </c>
      <c r="I196" s="5">
        <v>0</v>
      </c>
      <c r="J196" s="5">
        <v>0</v>
      </c>
      <c r="K196" s="5">
        <v>0</v>
      </c>
    </row>
    <row r="197" spans="1:11">
      <c r="A197" s="6" t="s">
        <v>194</v>
      </c>
      <c r="B197" s="6">
        <v>0</v>
      </c>
      <c r="C197" s="6">
        <v>0</v>
      </c>
      <c r="D197" s="6">
        <v>0</v>
      </c>
      <c r="E197" s="6">
        <v>0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</row>
    <row r="198" spans="1:11">
      <c r="A198" s="7" t="s">
        <v>195</v>
      </c>
      <c r="B198" s="4">
        <f t="shared" ref="B198:K198" si="27">B194-SUM(B195:B197)</f>
        <v>-9823.7049999999999</v>
      </c>
      <c r="C198" s="4">
        <f t="shared" si="27"/>
        <v>-9327.16</v>
      </c>
      <c r="D198" s="4">
        <f t="shared" si="27"/>
        <v>-23378.212</v>
      </c>
      <c r="E198" s="4">
        <f t="shared" si="27"/>
        <v>-21831.351000000002</v>
      </c>
      <c r="F198" s="4">
        <f t="shared" si="27"/>
        <v>-47360.203000000001</v>
      </c>
      <c r="G198" s="4">
        <f t="shared" si="27"/>
        <v>-88422.037000000011</v>
      </c>
      <c r="H198" s="4">
        <f t="shared" si="27"/>
        <v>-107428.14</v>
      </c>
      <c r="I198" s="4">
        <f t="shared" si="27"/>
        <v>-168346.76200000002</v>
      </c>
      <c r="J198" s="4">
        <f t="shared" si="27"/>
        <v>-290941.35499999998</v>
      </c>
      <c r="K198" s="4">
        <f t="shared" si="27"/>
        <v>528151.50300000014</v>
      </c>
    </row>
    <row r="199" spans="1:11">
      <c r="A199" s="6" t="s">
        <v>196</v>
      </c>
      <c r="B199" s="6">
        <v>558.94399999999996</v>
      </c>
      <c r="C199" s="6">
        <v>1030.079</v>
      </c>
      <c r="D199" s="6">
        <v>5582.6459999999997</v>
      </c>
      <c r="E199" s="6">
        <v>2432.6280000000002</v>
      </c>
      <c r="F199" s="6">
        <v>0</v>
      </c>
      <c r="G199" s="6">
        <v>0</v>
      </c>
      <c r="H199" s="6">
        <v>0</v>
      </c>
      <c r="I199" s="6">
        <v>7167.4080000000004</v>
      </c>
      <c r="J199" s="6">
        <v>0</v>
      </c>
      <c r="K199" s="6">
        <v>0</v>
      </c>
    </row>
    <row r="200" spans="1:11">
      <c r="A200" s="5" t="s">
        <v>197</v>
      </c>
      <c r="B200" s="5">
        <v>0</v>
      </c>
      <c r="C200" s="5">
        <v>0</v>
      </c>
      <c r="D200" s="5">
        <v>0.14699999999999999</v>
      </c>
      <c r="E200" s="5">
        <v>14.585000000000001</v>
      </c>
      <c r="F200" s="5">
        <v>0</v>
      </c>
      <c r="G200" s="5">
        <v>229.55799999999999</v>
      </c>
      <c r="H200" s="5">
        <v>0</v>
      </c>
      <c r="I200" s="5">
        <v>44.944000000000003</v>
      </c>
      <c r="J200" s="5">
        <v>17009.577000000001</v>
      </c>
      <c r="K200" s="5">
        <v>-158804.19099999999</v>
      </c>
    </row>
    <row r="201" spans="1:11">
      <c r="A201" s="6" t="s">
        <v>198</v>
      </c>
      <c r="B201" s="6">
        <v>0</v>
      </c>
      <c r="C201" s="6">
        <v>0</v>
      </c>
      <c r="D201" s="6">
        <v>0</v>
      </c>
      <c r="E201" s="6">
        <v>0</v>
      </c>
      <c r="F201" s="6">
        <v>0</v>
      </c>
      <c r="G201" s="6">
        <v>0</v>
      </c>
      <c r="H201" s="6">
        <v>0</v>
      </c>
      <c r="I201" s="6">
        <v>0</v>
      </c>
      <c r="J201" s="6">
        <v>0</v>
      </c>
      <c r="K201" s="6">
        <v>0</v>
      </c>
    </row>
    <row r="202" spans="1:11">
      <c r="A202" s="5" t="s">
        <v>199</v>
      </c>
      <c r="B202" s="5">
        <v>0</v>
      </c>
      <c r="C202" s="5">
        <v>0</v>
      </c>
      <c r="D202" s="5">
        <v>-62169.014000000003</v>
      </c>
      <c r="E202" s="5">
        <v>0</v>
      </c>
      <c r="F202" s="5">
        <v>-110690.113</v>
      </c>
      <c r="G202" s="5">
        <v>-202141.71900000001</v>
      </c>
      <c r="H202" s="5">
        <v>0</v>
      </c>
      <c r="I202" s="5">
        <v>0</v>
      </c>
      <c r="J202" s="5">
        <v>0</v>
      </c>
      <c r="K202" s="5">
        <v>0</v>
      </c>
    </row>
    <row r="203" spans="1:11">
      <c r="A203" s="6" t="s">
        <v>200</v>
      </c>
      <c r="B203" s="6">
        <v>0</v>
      </c>
      <c r="C203" s="6">
        <v>0</v>
      </c>
      <c r="D203" s="6">
        <v>0</v>
      </c>
      <c r="E203" s="6">
        <v>0</v>
      </c>
      <c r="F203" s="6">
        <v>0</v>
      </c>
      <c r="G203" s="6">
        <v>0</v>
      </c>
      <c r="H203" s="6">
        <v>0</v>
      </c>
      <c r="I203" s="6">
        <v>0</v>
      </c>
      <c r="J203" s="6">
        <v>0</v>
      </c>
      <c r="K203" s="6">
        <v>0</v>
      </c>
    </row>
    <row r="204" spans="1:11">
      <c r="A204" s="7" t="s">
        <v>201</v>
      </c>
      <c r="B204" s="4">
        <f t="shared" ref="B204:K204" si="28">SUM(B199:B203)</f>
        <v>558.94399999999996</v>
      </c>
      <c r="C204" s="4">
        <f t="shared" si="28"/>
        <v>1030.079</v>
      </c>
      <c r="D204" s="4">
        <f t="shared" si="28"/>
        <v>-56586.221000000005</v>
      </c>
      <c r="E204" s="4">
        <f t="shared" si="28"/>
        <v>2447.2130000000002</v>
      </c>
      <c r="F204" s="4">
        <f t="shared" si="28"/>
        <v>-110690.113</v>
      </c>
      <c r="G204" s="4">
        <f t="shared" si="28"/>
        <v>-201912.16100000002</v>
      </c>
      <c r="H204" s="4">
        <f t="shared" si="28"/>
        <v>0</v>
      </c>
      <c r="I204" s="4">
        <f t="shared" si="28"/>
        <v>7212.3520000000008</v>
      </c>
      <c r="J204" s="4">
        <f t="shared" si="28"/>
        <v>17009.577000000001</v>
      </c>
      <c r="K204" s="4">
        <f t="shared" si="28"/>
        <v>-158804.19099999999</v>
      </c>
    </row>
    <row r="205" spans="1:11">
      <c r="A205" s="6" t="s">
        <v>202</v>
      </c>
      <c r="B205" s="6">
        <v>0</v>
      </c>
      <c r="C205" s="6">
        <v>0</v>
      </c>
      <c r="D205" s="6">
        <v>0</v>
      </c>
      <c r="E205" s="6">
        <v>0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</row>
    <row r="206" spans="1:11">
      <c r="A206" s="5" t="s">
        <v>203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  <c r="H206" s="5">
        <v>0</v>
      </c>
      <c r="I206" s="5">
        <v>0</v>
      </c>
      <c r="J206" s="5">
        <v>0</v>
      </c>
      <c r="K206" s="5">
        <v>0</v>
      </c>
    </row>
    <row r="207" spans="1:11">
      <c r="A207" s="6" t="s">
        <v>204</v>
      </c>
      <c r="B207" s="6">
        <v>0</v>
      </c>
      <c r="C207" s="6">
        <v>0</v>
      </c>
      <c r="D207" s="6">
        <v>0</v>
      </c>
      <c r="E207" s="6">
        <v>0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</row>
    <row r="208" spans="1:11">
      <c r="A208" s="5" t="s">
        <v>205</v>
      </c>
      <c r="B208" s="5">
        <v>0</v>
      </c>
      <c r="C208" s="5">
        <v>-15830.769</v>
      </c>
      <c r="D208" s="5">
        <v>34461.94</v>
      </c>
      <c r="E208" s="5">
        <v>-105097.38099999999</v>
      </c>
      <c r="F208" s="5">
        <v>64345.805999999997</v>
      </c>
      <c r="G208" s="5">
        <v>34602.197999999997</v>
      </c>
      <c r="H208" s="5">
        <v>-254075.408</v>
      </c>
      <c r="I208" s="5">
        <v>-182266.91399999999</v>
      </c>
      <c r="J208" s="5">
        <v>-344307.72499999998</v>
      </c>
      <c r="K208" s="5">
        <v>-733420.11499999999</v>
      </c>
    </row>
    <row r="209" spans="1:11">
      <c r="A209" s="6" t="s">
        <v>206</v>
      </c>
      <c r="B209" s="6">
        <v>0</v>
      </c>
      <c r="C209" s="6">
        <v>0</v>
      </c>
      <c r="D209" s="6">
        <v>0</v>
      </c>
      <c r="E209" s="6">
        <v>0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</row>
    <row r="210" spans="1:11">
      <c r="A210" s="5" t="s">
        <v>207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  <c r="H210" s="5">
        <v>0</v>
      </c>
      <c r="I210" s="5">
        <v>0</v>
      </c>
      <c r="J210" s="5">
        <v>0</v>
      </c>
      <c r="K210" s="5">
        <v>0</v>
      </c>
    </row>
    <row r="211" spans="1:11">
      <c r="A211" s="6" t="s">
        <v>208</v>
      </c>
      <c r="B211" s="6">
        <v>291.00700000000001</v>
      </c>
      <c r="C211" s="6">
        <v>3336.7890000000002</v>
      </c>
      <c r="D211" s="6">
        <v>26929.210999999999</v>
      </c>
      <c r="E211" s="6">
        <v>23123.981</v>
      </c>
      <c r="F211" s="6">
        <v>26971.612000000001</v>
      </c>
      <c r="G211" s="6">
        <v>69250.080000000002</v>
      </c>
      <c r="H211" s="6">
        <v>63566.120999999999</v>
      </c>
      <c r="I211" s="6">
        <v>-19192.617999999999</v>
      </c>
      <c r="J211" s="6">
        <v>-89658.004000000001</v>
      </c>
      <c r="K211" s="6">
        <v>791920.56299999997</v>
      </c>
    </row>
    <row r="212" spans="1:11">
      <c r="A212" s="5" t="s">
        <v>209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  <c r="H212" s="5">
        <v>0</v>
      </c>
      <c r="I212" s="5">
        <v>0</v>
      </c>
      <c r="J212" s="5">
        <v>0</v>
      </c>
      <c r="K212" s="5">
        <v>0</v>
      </c>
    </row>
    <row r="213" spans="1:11">
      <c r="A213" s="6" t="s">
        <v>210</v>
      </c>
      <c r="B213" s="6">
        <v>0</v>
      </c>
      <c r="C213" s="6">
        <v>0</v>
      </c>
      <c r="D213" s="6">
        <v>0</v>
      </c>
      <c r="E213" s="6">
        <v>0</v>
      </c>
      <c r="F213" s="6">
        <v>0</v>
      </c>
      <c r="G213" s="6">
        <v>0</v>
      </c>
      <c r="H213" s="6">
        <v>0</v>
      </c>
      <c r="I213" s="6">
        <v>0</v>
      </c>
      <c r="J213" s="6">
        <v>0</v>
      </c>
      <c r="K213" s="6">
        <v>0</v>
      </c>
    </row>
    <row r="214" spans="1:11">
      <c r="A214" s="7" t="s">
        <v>211</v>
      </c>
      <c r="B214" s="4">
        <f t="shared" ref="B214:K214" si="29">SUM(B205:B209)+SUM(B211:B213)-B210</f>
        <v>291.00700000000001</v>
      </c>
      <c r="C214" s="4">
        <f t="shared" si="29"/>
        <v>-12493.98</v>
      </c>
      <c r="D214" s="4">
        <f t="shared" si="29"/>
        <v>61391.150999999998</v>
      </c>
      <c r="E214" s="4">
        <f t="shared" si="29"/>
        <v>-81973.399999999994</v>
      </c>
      <c r="F214" s="4">
        <f t="shared" si="29"/>
        <v>91317.418000000005</v>
      </c>
      <c r="G214" s="4">
        <f t="shared" si="29"/>
        <v>103852.27799999999</v>
      </c>
      <c r="H214" s="4">
        <f t="shared" si="29"/>
        <v>-190509.28700000001</v>
      </c>
      <c r="I214" s="4">
        <f t="shared" si="29"/>
        <v>-201459.53199999998</v>
      </c>
      <c r="J214" s="4">
        <f t="shared" si="29"/>
        <v>-433965.72899999999</v>
      </c>
      <c r="K214" s="4">
        <f t="shared" si="29"/>
        <v>58500.447999999975</v>
      </c>
    </row>
    <row r="215" spans="1:11">
      <c r="A215" s="6" t="s">
        <v>212</v>
      </c>
      <c r="B215" s="6">
        <v>0</v>
      </c>
      <c r="C215" s="6">
        <v>0</v>
      </c>
      <c r="D215" s="6">
        <v>0</v>
      </c>
      <c r="E215" s="6">
        <v>0</v>
      </c>
      <c r="F215" s="6">
        <v>0</v>
      </c>
      <c r="G215" s="6">
        <v>0</v>
      </c>
      <c r="H215" s="6">
        <v>0</v>
      </c>
      <c r="I215" s="6">
        <v>0</v>
      </c>
      <c r="J215" s="6">
        <v>0</v>
      </c>
      <c r="K215" s="6">
        <v>0</v>
      </c>
    </row>
    <row r="216" spans="1:11">
      <c r="A216" s="5" t="s">
        <v>213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  <c r="H216" s="5">
        <v>0</v>
      </c>
      <c r="I216" s="5">
        <v>0</v>
      </c>
      <c r="J216" s="5">
        <v>0</v>
      </c>
      <c r="K216" s="5">
        <v>0</v>
      </c>
    </row>
    <row r="217" spans="1:11">
      <c r="A217" s="7" t="s">
        <v>214</v>
      </c>
      <c r="B217" s="4">
        <f t="shared" ref="B217:K217" si="30">B193+B198+B204+B214+B215+B216</f>
        <v>284286.326</v>
      </c>
      <c r="C217" s="4">
        <f t="shared" si="30"/>
        <v>-72133.791999999972</v>
      </c>
      <c r="D217" s="4">
        <f t="shared" si="30"/>
        <v>-7653.7299999999959</v>
      </c>
      <c r="E217" s="4">
        <f t="shared" si="30"/>
        <v>-2785.8979999999719</v>
      </c>
      <c r="F217" s="4">
        <f t="shared" si="30"/>
        <v>15228.111999999965</v>
      </c>
      <c r="G217" s="4">
        <f t="shared" si="30"/>
        <v>-150451.33700000006</v>
      </c>
      <c r="H217" s="4">
        <f t="shared" si="30"/>
        <v>-16279.272999999812</v>
      </c>
      <c r="I217" s="4">
        <f t="shared" si="30"/>
        <v>167380.89500000011</v>
      </c>
      <c r="J217" s="4">
        <f t="shared" si="30"/>
        <v>-65447.217999999644</v>
      </c>
      <c r="K217" s="4">
        <f t="shared" si="30"/>
        <v>1166369.9629999995</v>
      </c>
    </row>
    <row r="218" spans="1:11">
      <c r="A218" s="5" t="s">
        <v>215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  <c r="H218" s="5">
        <v>0</v>
      </c>
      <c r="I218" s="5">
        <v>0</v>
      </c>
      <c r="J218" s="5">
        <v>0</v>
      </c>
      <c r="K218" s="5">
        <v>54641.855000000003</v>
      </c>
    </row>
    <row r="219" spans="1:11">
      <c r="A219" s="6" t="s">
        <v>216</v>
      </c>
      <c r="B219" s="6">
        <v>0</v>
      </c>
      <c r="C219" s="6">
        <v>0</v>
      </c>
      <c r="D219" s="6">
        <v>0</v>
      </c>
      <c r="E219" s="6">
        <v>0</v>
      </c>
      <c r="F219" s="6">
        <v>0</v>
      </c>
      <c r="G219" s="6">
        <v>0</v>
      </c>
      <c r="H219" s="6">
        <v>0</v>
      </c>
      <c r="I219" s="6">
        <v>0</v>
      </c>
      <c r="J219" s="6">
        <v>0</v>
      </c>
      <c r="K219" s="6">
        <v>0</v>
      </c>
    </row>
    <row r="220" spans="1:11">
      <c r="A220" s="5" t="s">
        <v>217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  <c r="H220" s="5">
        <v>0</v>
      </c>
      <c r="I220" s="5">
        <v>0</v>
      </c>
      <c r="J220" s="5">
        <v>0</v>
      </c>
      <c r="K220" s="5">
        <v>0</v>
      </c>
    </row>
    <row r="221" spans="1:11">
      <c r="A221" s="7" t="s">
        <v>218</v>
      </c>
      <c r="B221" s="4">
        <f t="shared" ref="B221:K221" si="31">SUM(B218:B220)</f>
        <v>0</v>
      </c>
      <c r="C221" s="4">
        <f t="shared" si="31"/>
        <v>0</v>
      </c>
      <c r="D221" s="4">
        <f t="shared" si="31"/>
        <v>0</v>
      </c>
      <c r="E221" s="4">
        <f t="shared" si="31"/>
        <v>0</v>
      </c>
      <c r="F221" s="4">
        <f t="shared" si="31"/>
        <v>0</v>
      </c>
      <c r="G221" s="4">
        <f t="shared" si="31"/>
        <v>0</v>
      </c>
      <c r="H221" s="4">
        <f t="shared" si="31"/>
        <v>0</v>
      </c>
      <c r="I221" s="4">
        <f t="shared" si="31"/>
        <v>0</v>
      </c>
      <c r="J221" s="4">
        <f t="shared" si="31"/>
        <v>0</v>
      </c>
      <c r="K221" s="4">
        <f t="shared" si="31"/>
        <v>54641.855000000003</v>
      </c>
    </row>
    <row r="222" spans="1:11">
      <c r="A222" s="7" t="s">
        <v>219</v>
      </c>
      <c r="B222" s="4">
        <f t="shared" ref="B222:K222" si="32">+B217-B221</f>
        <v>284286.326</v>
      </c>
      <c r="C222" s="4">
        <f t="shared" si="32"/>
        <v>-72133.791999999972</v>
      </c>
      <c r="D222" s="4">
        <f t="shared" si="32"/>
        <v>-7653.7299999999959</v>
      </c>
      <c r="E222" s="4">
        <f t="shared" si="32"/>
        <v>-2785.8979999999719</v>
      </c>
      <c r="F222" s="4">
        <f t="shared" si="32"/>
        <v>15228.111999999965</v>
      </c>
      <c r="G222" s="4">
        <f t="shared" si="32"/>
        <v>-150451.33700000006</v>
      </c>
      <c r="H222" s="4">
        <f t="shared" si="32"/>
        <v>-16279.272999999812</v>
      </c>
      <c r="I222" s="4">
        <f t="shared" si="32"/>
        <v>167380.89500000011</v>
      </c>
      <c r="J222" s="4">
        <f t="shared" si="32"/>
        <v>-65447.217999999644</v>
      </c>
      <c r="K222" s="4">
        <f t="shared" si="32"/>
        <v>1111728.1079999995</v>
      </c>
    </row>
    <row r="223" spans="1:11">
      <c r="A223" s="6" t="s">
        <v>220</v>
      </c>
      <c r="B223" s="6">
        <v>0</v>
      </c>
      <c r="C223" s="6">
        <v>0</v>
      </c>
      <c r="D223" s="6">
        <v>0</v>
      </c>
      <c r="E223" s="6">
        <v>0</v>
      </c>
      <c r="F223" s="6">
        <v>0</v>
      </c>
      <c r="G223" s="6">
        <v>0</v>
      </c>
      <c r="H223" s="6">
        <v>0</v>
      </c>
      <c r="I223" s="6">
        <v>0</v>
      </c>
      <c r="J223" s="6">
        <v>0</v>
      </c>
      <c r="K223" s="6">
        <v>0</v>
      </c>
    </row>
    <row r="224" spans="1:11">
      <c r="A224" s="5" t="s">
        <v>221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  <c r="H224" s="5">
        <v>0</v>
      </c>
      <c r="I224" s="5">
        <v>0</v>
      </c>
      <c r="J224" s="5">
        <v>0</v>
      </c>
      <c r="K224" s="5">
        <v>0</v>
      </c>
    </row>
    <row r="225" spans="1:11">
      <c r="A225" s="6" t="s">
        <v>222</v>
      </c>
      <c r="B225" s="6">
        <v>0</v>
      </c>
      <c r="C225" s="6">
        <v>0</v>
      </c>
      <c r="D225" s="6">
        <v>0</v>
      </c>
      <c r="E225" s="6">
        <v>0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  <c r="K225" s="6">
        <v>0</v>
      </c>
    </row>
  </sheetData>
  <pageMargins left="0.7" right="0.7" top="0.75" bottom="0.75" header="0.3" footer="0.3"/>
  <ignoredErrors>
    <ignoredError sqref="B4:K4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E695D-4AF9-D04C-B23B-581BD5C34789}">
  <dimension ref="A1:C13"/>
  <sheetViews>
    <sheetView workbookViewId="0">
      <selection activeCell="E9" sqref="E9"/>
    </sheetView>
  </sheetViews>
  <sheetFormatPr baseColWidth="10" defaultRowHeight="13"/>
  <cols>
    <col min="1" max="1" width="6" bestFit="1" customWidth="1"/>
    <col min="2" max="2" width="8.83203125" hidden="1" customWidth="1"/>
    <col min="3" max="3" width="8.83203125" bestFit="1" customWidth="1"/>
  </cols>
  <sheetData>
    <row r="1" spans="1:3">
      <c r="A1" s="8" t="s">
        <v>230</v>
      </c>
      <c r="B1" s="8" t="s">
        <v>229</v>
      </c>
      <c r="C1" s="8" t="s">
        <v>231</v>
      </c>
    </row>
    <row r="2" spans="1:3">
      <c r="A2" s="9">
        <v>2015</v>
      </c>
      <c r="B2" s="19">
        <f>+AVERAGE(Macro_Monthly!B2:B13)</f>
        <v>2.7186517443394416</v>
      </c>
      <c r="C2" s="19">
        <f>+Macro_Monthly!B13</f>
        <v>2.9172347826087002</v>
      </c>
    </row>
    <row r="3" spans="1:3">
      <c r="A3" s="9">
        <v>2016</v>
      </c>
      <c r="B3" s="19">
        <f>+AVERAGE(Macro_Monthly!B14:B25)</f>
        <v>3.0185425044963168</v>
      </c>
      <c r="C3" s="19">
        <f>+Macro_Monthly!B25</f>
        <v>3.4889272727273002</v>
      </c>
    </row>
    <row r="4" spans="1:3">
      <c r="A4" s="9">
        <v>2017</v>
      </c>
      <c r="B4" s="19">
        <f>+AVERAGE(Macro_Monthly!B26:B37)</f>
        <v>3.6449401589406834</v>
      </c>
      <c r="C4" s="19">
        <f>+Macro_Monthly!B37</f>
        <v>3.8477047619047999</v>
      </c>
    </row>
    <row r="5" spans="1:3">
      <c r="A5" s="9">
        <v>2018</v>
      </c>
      <c r="B5" s="19">
        <f>+AVERAGE(Macro_Monthly!B38:B49)</f>
        <v>4.8259734151034159</v>
      </c>
      <c r="C5" s="19">
        <f>+Macro_Monthly!B49</f>
        <v>5.3061238095238004</v>
      </c>
    </row>
    <row r="6" spans="1:3">
      <c r="A6" s="9">
        <v>2019</v>
      </c>
      <c r="B6" s="19">
        <f>+AVERAGE(Macro_Monthly!B50:B61)</f>
        <v>5.6694745278768082</v>
      </c>
      <c r="C6" s="19">
        <f>+Macro_Monthly!B61</f>
        <v>5.8376272727272998</v>
      </c>
    </row>
    <row r="7" spans="1:3">
      <c r="A7" s="9">
        <v>2020</v>
      </c>
      <c r="B7" s="19">
        <f>+AVERAGE(Macro_Monthly!B62:B73)</f>
        <v>7.0055107668851413</v>
      </c>
      <c r="C7" s="19">
        <f>+Macro_Monthly!B73</f>
        <v>7.7210652173912999</v>
      </c>
    </row>
    <row r="8" spans="1:3">
      <c r="A8" s="9">
        <v>2021</v>
      </c>
      <c r="B8" s="19">
        <f>+AVERAGE(Macro_Monthly!B74:B85)</f>
        <v>8.8317309982682506</v>
      </c>
      <c r="C8" s="19">
        <f>+Macro_Monthly!B85</f>
        <v>13.528495652174</v>
      </c>
    </row>
    <row r="9" spans="1:3">
      <c r="A9" s="9">
        <v>2022</v>
      </c>
      <c r="B9" s="19">
        <f>+AVERAGE(Macro_Monthly!B86:B97)</f>
        <v>16.536210377715999</v>
      </c>
      <c r="C9" s="19">
        <f>+Macro_Monthly!B97</f>
        <v>18.636968181817998</v>
      </c>
    </row>
    <row r="10" spans="1:3">
      <c r="A10" s="9">
        <v>2023</v>
      </c>
      <c r="B10" s="19">
        <f>+AVERAGE(Macro_Monthly!B98:B109)</f>
        <v>23.693282970783333</v>
      </c>
      <c r="C10" s="19">
        <f>+Macro_Monthly!B109</f>
        <v>29.022561904762</v>
      </c>
    </row>
    <row r="11" spans="1:3">
      <c r="A11" s="9">
        <v>2024</v>
      </c>
      <c r="B11" s="19">
        <f>+AVERAGE(Macro_Monthly!B110:B121)</f>
        <v>32.780164714016834</v>
      </c>
      <c r="C11" s="19">
        <f>+Macro_Monthly!B121</f>
        <v>34.903822727273003</v>
      </c>
    </row>
    <row r="12" spans="1:3">
      <c r="A12" s="9"/>
    </row>
    <row r="13" spans="1:3">
      <c r="A13" s="9"/>
    </row>
  </sheetData>
  <pageMargins left="0.7" right="0.7" top="0.75" bottom="0.75" header="0.3" footer="0.3"/>
  <ignoredErrors>
    <ignoredError sqref="B2:B11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C3F1C-1C1F-A544-A325-D793F01941C3}">
  <dimension ref="A1:P225"/>
  <sheetViews>
    <sheetView workbookViewId="0">
      <selection activeCell="L1" sqref="L1:P1"/>
    </sheetView>
  </sheetViews>
  <sheetFormatPr baseColWidth="10" defaultRowHeight="13"/>
  <cols>
    <col min="1" max="1" width="48.5" bestFit="1" customWidth="1"/>
    <col min="2" max="11" width="16.1640625" bestFit="1" customWidth="1"/>
  </cols>
  <sheetData>
    <row r="1" spans="1:16">
      <c r="B1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 s="22" t="s">
        <v>232</v>
      </c>
      <c r="M1" s="22" t="s">
        <v>233</v>
      </c>
      <c r="N1" s="22" t="s">
        <v>234</v>
      </c>
      <c r="O1" s="22" t="s">
        <v>235</v>
      </c>
      <c r="P1" s="22" t="s">
        <v>236</v>
      </c>
    </row>
    <row r="2" spans="1:16">
      <c r="A2" s="1" t="s">
        <v>0</v>
      </c>
      <c r="B2" s="2">
        <v>12</v>
      </c>
      <c r="C2" s="2">
        <v>12</v>
      </c>
      <c r="D2" s="2">
        <v>12</v>
      </c>
      <c r="E2" s="2">
        <v>12</v>
      </c>
      <c r="F2" s="2">
        <v>12</v>
      </c>
      <c r="G2" s="2">
        <v>12</v>
      </c>
      <c r="H2" s="2">
        <v>12</v>
      </c>
      <c r="I2" s="2">
        <v>12</v>
      </c>
      <c r="J2" s="2">
        <v>12</v>
      </c>
      <c r="K2" s="2">
        <v>12</v>
      </c>
    </row>
    <row r="3" spans="1:16" ht="16">
      <c r="A3" s="3" t="s">
        <v>1</v>
      </c>
      <c r="B3" s="20">
        <f>+Raw_Financials!B3/FXs!$C$2</f>
        <v>325069.24799244024</v>
      </c>
      <c r="C3" s="20">
        <f>+Raw_Financials!C3/FXs!$C$3</f>
        <v>324618.71127358504</v>
      </c>
      <c r="D3" s="20">
        <f>+Raw_Financials!D3/FXs!$C$4</f>
        <v>343542.27826607489</v>
      </c>
      <c r="E3" s="20">
        <f>+Raw_Financials!E3/FXs!$C$5</f>
        <v>314017.38025964668</v>
      </c>
      <c r="F3" s="20">
        <f>+Raw_Financials!F3/FXs!$C$6</f>
        <v>384257.63896913099</v>
      </c>
      <c r="G3" s="20">
        <f>+Raw_Financials!G3/FXs!$C$7</f>
        <v>326367.2863847916</v>
      </c>
      <c r="H3" s="20">
        <f>+Raw_Financials!H3/FXs!$C$8</f>
        <v>235364.52639420537</v>
      </c>
      <c r="I3" s="20">
        <f>+Raw_Financials!I3/FXs!$C$9</f>
        <v>541429.79376035416</v>
      </c>
      <c r="J3" s="20">
        <f>+Raw_Financials!J3/FXs!$C$10</f>
        <v>590914.77462525677</v>
      </c>
      <c r="K3" s="20">
        <f>+Raw_Financials!K3/FXs!$C$11</f>
        <v>694328.07301257539</v>
      </c>
      <c r="L3" s="20">
        <f>QUARTILE(B3:K3, 1)</f>
        <v>324731.34545329883</v>
      </c>
      <c r="M3" s="20">
        <f>QUARTILE(B3:K3, 3)</f>
        <v>502136.75506254839</v>
      </c>
      <c r="N3" s="21">
        <f>M3 - L3</f>
        <v>177405.40960924956</v>
      </c>
      <c r="O3" s="21">
        <f>L3 - (3 * N3)</f>
        <v>-207484.88337444986</v>
      </c>
      <c r="P3" s="21">
        <f>M3 + (3 * N3)</f>
        <v>1034352.9838902971</v>
      </c>
    </row>
    <row r="4" spans="1:16" ht="16">
      <c r="A4" s="3" t="s">
        <v>2</v>
      </c>
      <c r="B4" s="20">
        <f>+Raw_Financials!B4/FXs!$C$2</f>
        <v>56858.288194299465</v>
      </c>
      <c r="C4" s="20">
        <f>+Raw_Financials!C4/FXs!$C$3</f>
        <v>50010.200660791415</v>
      </c>
      <c r="D4" s="20">
        <f>+Raw_Financials!D4/FXs!$C$4</f>
        <v>49004.155897516648</v>
      </c>
      <c r="E4" s="20">
        <f>+Raw_Financials!E4/FXs!$C$5</f>
        <v>42688.697650334012</v>
      </c>
      <c r="F4" s="20">
        <f>+Raw_Financials!F4/FXs!$C$6</f>
        <v>40759.899336436312</v>
      </c>
      <c r="G4" s="20">
        <f>+Raw_Financials!G4/FXs!$C$7</f>
        <v>56730.059993974734</v>
      </c>
      <c r="H4" s="20">
        <f>+Raw_Financials!H4/FXs!$C$8</f>
        <v>32766.322686348798</v>
      </c>
      <c r="I4" s="20">
        <f>+Raw_Financials!I4/FXs!$C$9</f>
        <v>112896.86865767636</v>
      </c>
      <c r="J4" s="20">
        <f>+Raw_Financials!J4/FXs!$C$10</f>
        <v>106971.12547085666</v>
      </c>
      <c r="K4" s="20">
        <f>+Raw_Financials!K4/FXs!$C$11</f>
        <v>186532.43405091844</v>
      </c>
      <c r="L4" s="20">
        <f t="shared" ref="L4:L67" si="0">QUARTILE(B4:K4, 1)</f>
        <v>44267.562212129669</v>
      </c>
      <c r="M4" s="20">
        <f t="shared" ref="M4:M67" si="1">QUARTILE(B4:K4, 3)</f>
        <v>94442.916151717363</v>
      </c>
      <c r="N4" s="21">
        <f t="shared" ref="N4:N67" si="2">M4 - L4</f>
        <v>50175.353939587694</v>
      </c>
      <c r="O4" s="21">
        <f t="shared" ref="O4:O67" si="3">L4 - (3 * N4)</f>
        <v>-106258.49960663341</v>
      </c>
      <c r="P4" s="21">
        <f t="shared" ref="P4:P67" si="4">M4 + (3 * N4)</f>
        <v>244968.97797048045</v>
      </c>
    </row>
    <row r="5" spans="1:16" ht="16">
      <c r="A5" s="3" t="s">
        <v>3</v>
      </c>
      <c r="B5" s="20">
        <f>+Raw_Financials!B5/FXs!$C$2</f>
        <v>-6450.24497588543</v>
      </c>
      <c r="C5" s="20">
        <f>+Raw_Financials!C5/FXs!$C$3</f>
        <v>-1827.1988785299866</v>
      </c>
      <c r="D5" s="20">
        <f>+Raw_Financials!D5/FXs!$C$4</f>
        <v>-2993.2358932597713</v>
      </c>
      <c r="E5" s="20">
        <f>+Raw_Financials!E5/FXs!$C$5</f>
        <v>-2601.1522714994207</v>
      </c>
      <c r="F5" s="20">
        <f>+Raw_Financials!F5/FXs!$C$6</f>
        <v>7135.6124764264105</v>
      </c>
      <c r="G5" s="20">
        <f>+Raw_Financials!G5/FXs!$C$7</f>
        <v>2106.9508600131217</v>
      </c>
      <c r="H5" s="20">
        <f>+Raw_Financials!H5/FXs!$C$8</f>
        <v>951.87257556834402</v>
      </c>
      <c r="I5" s="20">
        <f>+Raw_Financials!I5/FXs!$C$9</f>
        <v>311786.54238777439</v>
      </c>
      <c r="J5" s="20">
        <f>+Raw_Financials!J5/FXs!$C$10</f>
        <v>372232.02040021942</v>
      </c>
      <c r="K5" s="20">
        <f>+Raw_Financials!K5/FXs!$C$11</f>
        <v>489854.52423353604</v>
      </c>
      <c r="L5" s="20">
        <f t="shared" si="0"/>
        <v>-2407.6639232570624</v>
      </c>
      <c r="M5" s="20">
        <f t="shared" si="1"/>
        <v>235623.80990993738</v>
      </c>
      <c r="N5" s="21">
        <f t="shared" si="2"/>
        <v>238031.47383319444</v>
      </c>
      <c r="O5" s="21">
        <f t="shared" si="3"/>
        <v>-716502.08542284032</v>
      </c>
      <c r="P5" s="21">
        <f t="shared" si="4"/>
        <v>949718.23140952061</v>
      </c>
    </row>
    <row r="6" spans="1:16" ht="16">
      <c r="A6" s="3" t="s">
        <v>4</v>
      </c>
      <c r="B6" s="20">
        <f>+Raw_Financials!B6/FXs!$C$2</f>
        <v>325337.49791344942</v>
      </c>
      <c r="C6" s="20">
        <f>+Raw_Financials!C6/FXs!$C$3</f>
        <v>300252.50603206793</v>
      </c>
      <c r="D6" s="20">
        <f>+Raw_Financials!D6/FXs!$C$4</f>
        <v>297684.70578625426</v>
      </c>
      <c r="E6" s="20">
        <f>+Raw_Financials!E6/FXs!$C$5</f>
        <v>259989.04464383516</v>
      </c>
      <c r="F6" s="20">
        <f>+Raw_Financials!F6/FXs!$C$6</f>
        <v>331613.73475213163</v>
      </c>
      <c r="G6" s="20">
        <f>+Raw_Financials!G6/FXs!$C$7</f>
        <v>291511.27022347128</v>
      </c>
      <c r="H6" s="20">
        <f>+Raw_Financials!H6/FXs!$C$8</f>
        <v>185689.15536416735</v>
      </c>
      <c r="I6" s="20">
        <f>+Raw_Financials!I6/FXs!$C$9</f>
        <v>174908.08275243928</v>
      </c>
      <c r="J6" s="20">
        <f>+Raw_Financials!J6/FXs!$C$10</f>
        <v>183385.16628770527</v>
      </c>
      <c r="K6" s="20">
        <f>+Raw_Financials!K6/FXs!$C$11</f>
        <v>319442.67237203912</v>
      </c>
      <c r="L6" s="20">
        <f>QUARTILE(B6:K6, 1)</f>
        <v>204264.12768408429</v>
      </c>
      <c r="M6" s="20">
        <f t="shared" si="1"/>
        <v>314645.13078704634</v>
      </c>
      <c r="N6" s="21">
        <f>M6 - L6</f>
        <v>110381.00310296204</v>
      </c>
      <c r="O6" s="21">
        <f>L6 - (3 * N6)</f>
        <v>-126878.88162480184</v>
      </c>
      <c r="P6" s="21">
        <f>M6 + (3 * N6)</f>
        <v>645788.14009593241</v>
      </c>
    </row>
    <row r="7" spans="1:16" ht="16">
      <c r="A7" s="3" t="s">
        <v>5</v>
      </c>
      <c r="B7" s="20">
        <f>+Raw_Financials!B7/FXs!$C$2</f>
        <v>60940.571207993191</v>
      </c>
      <c r="C7" s="20">
        <f>+Raw_Financials!C7/FXs!$C$3</f>
        <v>76203.604780838505</v>
      </c>
      <c r="D7" s="20">
        <f>+Raw_Financials!D7/FXs!$C$4</f>
        <v>97854.965570072964</v>
      </c>
      <c r="E7" s="20">
        <f>+Raw_Financials!E7/FXs!$C$5</f>
        <v>99318.185726106414</v>
      </c>
      <c r="F7" s="20">
        <f>+Raw_Financials!F7/FXs!$C$6</f>
        <v>86268.191419614363</v>
      </c>
      <c r="G7" s="20">
        <f>+Raw_Financials!G7/FXs!$C$7</f>
        <v>89479.12568382945</v>
      </c>
      <c r="H7" s="20">
        <f>+Raw_Financials!H7/FXs!$C$8</f>
        <v>81489.821584326812</v>
      </c>
      <c r="I7" s="20">
        <f>+Raw_Financials!I7/FXs!$C$9</f>
        <v>167632.03759975758</v>
      </c>
      <c r="J7" s="20">
        <f>+Raw_Financials!J7/FXs!$C$10</f>
        <v>142268.71347710059</v>
      </c>
      <c r="K7" s="20">
        <f>+Raw_Financials!K7/FXs!$C$11</f>
        <v>71563.310629819738</v>
      </c>
      <c r="L7" s="20">
        <f t="shared" si="0"/>
        <v>77525.158981710585</v>
      </c>
      <c r="M7" s="20">
        <f t="shared" si="1"/>
        <v>98952.380687098048</v>
      </c>
      <c r="N7" s="21">
        <f t="shared" si="2"/>
        <v>21427.221705387463</v>
      </c>
      <c r="O7" s="21">
        <f t="shared" si="3"/>
        <v>13243.493865548196</v>
      </c>
      <c r="P7" s="21">
        <f t="shared" si="4"/>
        <v>163234.04580326044</v>
      </c>
    </row>
    <row r="8" spans="1:16" ht="16">
      <c r="A8" s="3" t="s">
        <v>6</v>
      </c>
      <c r="B8" s="20">
        <f>+Raw_Financials!B8/FXs!$C$2</f>
        <v>97450.615800549509</v>
      </c>
      <c r="C8" s="20">
        <f>+Raw_Financials!C8/FXs!$C$3</f>
        <v>-20675.063239026153</v>
      </c>
      <c r="D8" s="20">
        <f>+Raw_Financials!D8/FXs!$C$4</f>
        <v>-1989.1676918088251</v>
      </c>
      <c r="E8" s="20">
        <f>+Raw_Financials!E8/FXs!$C$5</f>
        <v>-525.03448845269088</v>
      </c>
      <c r="F8" s="20">
        <f>+Raw_Financials!F8/FXs!$C$6</f>
        <v>2608.6132753188772</v>
      </c>
      <c r="G8" s="20">
        <f>+Raw_Financials!G8/FXs!$C$7</f>
        <v>-19485.826471341832</v>
      </c>
      <c r="H8" s="20">
        <f>+Raw_Financials!H8/FXs!$C$8</f>
        <v>-1203.3320938669015</v>
      </c>
      <c r="I8" s="20">
        <f>+Raw_Financials!I8/FXs!$C$9</f>
        <v>8981.1225391957742</v>
      </c>
      <c r="J8" s="20">
        <f>+Raw_Financials!J8/FXs!$C$10</f>
        <v>-2255.0462021500975</v>
      </c>
      <c r="K8" s="20">
        <f>+Raw_Financials!K8/FXs!$C$11</f>
        <v>31851.184802497926</v>
      </c>
      <c r="L8" s="20">
        <f t="shared" si="0"/>
        <v>-2188.5765745647795</v>
      </c>
      <c r="M8" s="20">
        <f t="shared" si="1"/>
        <v>7387.9952232265496</v>
      </c>
      <c r="N8" s="21">
        <f t="shared" si="2"/>
        <v>9576.57179779133</v>
      </c>
      <c r="O8" s="21">
        <f t="shared" si="3"/>
        <v>-30918.291967938771</v>
      </c>
      <c r="P8" s="21">
        <f t="shared" si="4"/>
        <v>36117.71061660054</v>
      </c>
    </row>
    <row r="9" spans="1:16" ht="16">
      <c r="A9" s="5" t="s">
        <v>7</v>
      </c>
      <c r="B9" s="20">
        <f>+Raw_Financials!B9/FXs!$C$2</f>
        <v>381927.53618673969</v>
      </c>
      <c r="C9" s="20">
        <f>+Raw_Financials!C9/FXs!$C$3</f>
        <v>374628.91193437646</v>
      </c>
      <c r="D9" s="20">
        <f>+Raw_Financials!D9/FXs!$C$4</f>
        <v>392546.43416359153</v>
      </c>
      <c r="E9" s="20">
        <f>+Raw_Financials!E9/FXs!$C$5</f>
        <v>356706.07790998073</v>
      </c>
      <c r="F9" s="20">
        <f>+Raw_Financials!F9/FXs!$C$6</f>
        <v>425017.53830556734</v>
      </c>
      <c r="G9" s="20">
        <f>+Raw_Financials!G9/FXs!$C$7</f>
        <v>383097.34637876635</v>
      </c>
      <c r="H9" s="20">
        <f>+Raw_Financials!H9/FXs!$C$8</f>
        <v>268130.84908055415</v>
      </c>
      <c r="I9" s="20">
        <f>+Raw_Financials!I9/FXs!$C$9</f>
        <v>654326.66241803055</v>
      </c>
      <c r="J9" s="20">
        <f>+Raw_Financials!J9/FXs!$C$10</f>
        <v>697885.90009611344</v>
      </c>
      <c r="K9" s="20">
        <f>+Raw_Financials!K9/FXs!$C$11</f>
        <v>880860.50706349383</v>
      </c>
      <c r="L9" s="20">
        <f t="shared" si="0"/>
        <v>376453.56799746724</v>
      </c>
      <c r="M9" s="20">
        <f t="shared" si="1"/>
        <v>596999.38138991478</v>
      </c>
      <c r="N9" s="21">
        <f t="shared" si="2"/>
        <v>220545.81339244754</v>
      </c>
      <c r="O9" s="21">
        <f t="shared" si="3"/>
        <v>-285183.87217987538</v>
      </c>
      <c r="P9" s="21">
        <f t="shared" si="4"/>
        <v>1258636.8215672574</v>
      </c>
    </row>
    <row r="10" spans="1:16" ht="16">
      <c r="A10" s="5" t="s">
        <v>8</v>
      </c>
      <c r="B10" s="20">
        <f>+Raw_Financials!B10/FXs!$C$2</f>
        <v>379827.82414555718</v>
      </c>
      <c r="C10" s="20">
        <f>+Raw_Financials!C10/FXs!$C$3</f>
        <v>374628.91193437646</v>
      </c>
      <c r="D10" s="20">
        <f>+Raw_Financials!D10/FXs!$C$4</f>
        <v>392546.43546306744</v>
      </c>
      <c r="E10" s="20">
        <f>+Raw_Financials!E10/FXs!$C$5</f>
        <v>356706.07809844211</v>
      </c>
      <c r="F10" s="20">
        <f>+Raw_Financials!F10/FXs!$C$6</f>
        <v>425017.53864817246</v>
      </c>
      <c r="G10" s="20">
        <f>+Raw_Financials!G10/FXs!$C$7</f>
        <v>383097.34676731378</v>
      </c>
      <c r="H10" s="20">
        <f>+Raw_Financials!H10/FXs!$C$8</f>
        <v>268130.84952406253</v>
      </c>
      <c r="I10" s="20">
        <f>+Raw_Financials!I10/FXs!$C$9</f>
        <v>654326.6627399713</v>
      </c>
      <c r="J10" s="20">
        <f>+Raw_Financials!J10/FXs!$C$10</f>
        <v>697885.90016502538</v>
      </c>
      <c r="K10" s="20">
        <f>+Raw_Financials!K10/FXs!$C$11</f>
        <v>880860.50723539491</v>
      </c>
      <c r="L10" s="20">
        <f t="shared" si="0"/>
        <v>375928.63998717163</v>
      </c>
      <c r="M10" s="20">
        <f t="shared" si="1"/>
        <v>596999.38171702158</v>
      </c>
      <c r="N10" s="21">
        <f t="shared" si="2"/>
        <v>221070.74172984995</v>
      </c>
      <c r="O10" s="21">
        <f t="shared" si="3"/>
        <v>-287283.58520237822</v>
      </c>
      <c r="P10" s="21">
        <f t="shared" si="4"/>
        <v>1260211.6069065714</v>
      </c>
    </row>
    <row r="11" spans="1:16" ht="16">
      <c r="A11" s="5" t="s">
        <v>9</v>
      </c>
      <c r="B11" s="20">
        <f>+Raw_Financials!B11/FXs!$C$2</f>
        <v>4810.2631586791467</v>
      </c>
      <c r="C11" s="20">
        <f>+Raw_Financials!C11/FXs!$C$3</f>
        <v>4022.0577567472883</v>
      </c>
      <c r="D11" s="20">
        <f>+Raw_Financials!D11/FXs!$C$4</f>
        <v>6082.41132004479</v>
      </c>
      <c r="E11" s="20">
        <f>+Raw_Financials!E11/FXs!$C$5</f>
        <v>6230.6033908709369</v>
      </c>
      <c r="F11" s="20">
        <f>+Raw_Financials!F11/FXs!$C$6</f>
        <v>17790.249727862574</v>
      </c>
      <c r="G11" s="20">
        <f>+Raw_Financials!G11/FXs!$C$7</f>
        <v>13117.24368962382</v>
      </c>
      <c r="H11" s="20">
        <f>+Raw_Financials!H11/FXs!$C$8</f>
        <v>7315.5726656197685</v>
      </c>
      <c r="I11" s="20">
        <f>+Raw_Financials!I11/FXs!$C$9</f>
        <v>6453.7354373627059</v>
      </c>
      <c r="J11" s="20">
        <f>+Raw_Financials!J11/FXs!$C$10</f>
        <v>10024.250993233803</v>
      </c>
      <c r="K11" s="20">
        <f>+Raw_Financials!K11/FXs!$C$11</f>
        <v>12851.247684383517</v>
      </c>
      <c r="L11" s="20">
        <f t="shared" si="0"/>
        <v>6119.4593377513265</v>
      </c>
      <c r="M11" s="20">
        <f t="shared" si="1"/>
        <v>12144.498511596088</v>
      </c>
      <c r="N11" s="21">
        <f t="shared" si="2"/>
        <v>6025.0391738447615</v>
      </c>
      <c r="O11" s="21">
        <f t="shared" si="3"/>
        <v>-11955.658183782958</v>
      </c>
      <c r="P11" s="21">
        <f t="shared" si="4"/>
        <v>30219.616033130373</v>
      </c>
    </row>
    <row r="12" spans="1:16" ht="16">
      <c r="A12" s="6" t="s">
        <v>10</v>
      </c>
      <c r="B12" s="20">
        <f>+Raw_Financials!B12/FXs!$C$2</f>
        <v>285805.62969101127</v>
      </c>
      <c r="C12" s="20">
        <f>+Raw_Financials!C12/FXs!$C$3</f>
        <v>299048.96647054603</v>
      </c>
      <c r="D12" s="20">
        <f>+Raw_Financials!D12/FXs!$C$4</f>
        <v>327697.79908368055</v>
      </c>
      <c r="E12" s="20">
        <f>+Raw_Financials!E12/FXs!$C$5</f>
        <v>304895.61779471394</v>
      </c>
      <c r="F12" s="20">
        <f>+Raw_Financials!F12/FXs!$C$6</f>
        <v>309085.65804288338</v>
      </c>
      <c r="G12" s="20">
        <f>+Raw_Financials!G12/FXs!$C$7</f>
        <v>269166.67732825794</v>
      </c>
      <c r="H12" s="20">
        <f>+Raw_Financials!H12/FXs!$C$8</f>
        <v>189077.7081034095</v>
      </c>
      <c r="I12" s="20">
        <f>+Raw_Financials!I12/FXs!$C$9</f>
        <v>385983.7633901182</v>
      </c>
      <c r="J12" s="20">
        <f>+Raw_Financials!J12/FXs!$C$10</f>
        <v>466023.21860430925</v>
      </c>
      <c r="K12" s="20">
        <f>+Raw_Financials!K12/FXs!$C$11</f>
        <v>486355.38802274596</v>
      </c>
      <c r="L12" s="20">
        <f t="shared" si="0"/>
        <v>289116.46388589498</v>
      </c>
      <c r="M12" s="20">
        <f t="shared" si="1"/>
        <v>371412.27231350879</v>
      </c>
      <c r="N12" s="21">
        <f t="shared" si="2"/>
        <v>82295.808427613811</v>
      </c>
      <c r="O12" s="21">
        <f t="shared" si="3"/>
        <v>42229.038603053545</v>
      </c>
      <c r="P12" s="21">
        <f t="shared" si="4"/>
        <v>618299.69759635022</v>
      </c>
    </row>
    <row r="13" spans="1:16" ht="16">
      <c r="A13" s="5" t="s">
        <v>11</v>
      </c>
      <c r="B13" s="20">
        <f>+Raw_Financials!B13/FXs!$C$2</f>
        <v>481.11280187908665</v>
      </c>
      <c r="C13" s="20">
        <f>+Raw_Financials!C13/FXs!$C$3</f>
        <v>409.0188440312437</v>
      </c>
      <c r="D13" s="20">
        <f>+Raw_Financials!D13/FXs!$C$4</f>
        <v>530.54252504275371</v>
      </c>
      <c r="E13" s="20">
        <f>+Raw_Financials!E13/FXs!$C$5</f>
        <v>512.96503770127333</v>
      </c>
      <c r="F13" s="20">
        <f>+Raw_Financials!F13/FXs!$C$6</f>
        <v>590.65778593108075</v>
      </c>
      <c r="G13" s="20">
        <f>+Raw_Financials!G13/FXs!$C$7</f>
        <v>447.25564449600074</v>
      </c>
      <c r="H13" s="20">
        <f>+Raw_Financials!H13/FXs!$C$8</f>
        <v>259.55036615144547</v>
      </c>
      <c r="I13" s="20">
        <f>+Raw_Financials!I13/FXs!$C$9</f>
        <v>1069.1242162144601</v>
      </c>
      <c r="J13" s="20">
        <f>+Raw_Financials!J13/FXs!$C$10</f>
        <v>885.67205349926155</v>
      </c>
      <c r="K13" s="20">
        <f>+Raw_Financials!K13/FXs!$C$11</f>
        <v>822.52423249810101</v>
      </c>
      <c r="L13" s="20">
        <f t="shared" si="0"/>
        <v>455.71993384177222</v>
      </c>
      <c r="M13" s="20">
        <f t="shared" si="1"/>
        <v>764.55762085634592</v>
      </c>
      <c r="N13" s="21">
        <f t="shared" si="2"/>
        <v>308.8376870145737</v>
      </c>
      <c r="O13" s="21">
        <f t="shared" si="3"/>
        <v>-470.79312720194889</v>
      </c>
      <c r="P13" s="21">
        <f t="shared" si="4"/>
        <v>1691.070681900067</v>
      </c>
    </row>
    <row r="14" spans="1:16" ht="16">
      <c r="A14" s="6" t="s">
        <v>12</v>
      </c>
      <c r="B14" s="20">
        <f>+Raw_Financials!B14/FXs!$C$2</f>
        <v>7177.9176379060455</v>
      </c>
      <c r="C14" s="20">
        <f>+Raw_Financials!C14/FXs!$C$3</f>
        <v>7260.9833968241819</v>
      </c>
      <c r="D14" s="20">
        <f>+Raw_Financials!D14/FXs!$C$4</f>
        <v>7710.2906370896917</v>
      </c>
      <c r="E14" s="20">
        <f>+Raw_Financials!E14/FXs!$C$5</f>
        <v>6540.9770382110264</v>
      </c>
      <c r="F14" s="20">
        <f>+Raw_Financials!F14/FXs!$C$6</f>
        <v>6282.6926568857843</v>
      </c>
      <c r="G14" s="20">
        <f>+Raw_Financials!G14/FXs!$C$7</f>
        <v>5355.8384543696129</v>
      </c>
      <c r="H14" s="20">
        <f>+Raw_Financials!H14/FXs!$C$8</f>
        <v>3636.4044654214349</v>
      </c>
      <c r="I14" s="20">
        <f>+Raw_Financials!I14/FXs!$C$9</f>
        <v>11539.079473763526</v>
      </c>
      <c r="J14" s="20">
        <f>+Raw_Financials!J14/FXs!$C$10</f>
        <v>12689.893993802481</v>
      </c>
      <c r="K14" s="20">
        <f>+Raw_Financials!K14/FXs!$C$11</f>
        <v>12386.30841034464</v>
      </c>
      <c r="L14" s="20">
        <f t="shared" si="0"/>
        <v>6347.2637522170953</v>
      </c>
      <c r="M14" s="20">
        <f t="shared" si="1"/>
        <v>10581.882264595068</v>
      </c>
      <c r="N14" s="21">
        <f t="shared" si="2"/>
        <v>4234.6185123779724</v>
      </c>
      <c r="O14" s="21">
        <f t="shared" si="3"/>
        <v>-6356.5917849168218</v>
      </c>
      <c r="P14" s="21">
        <f t="shared" si="4"/>
        <v>23285.737801728985</v>
      </c>
    </row>
    <row r="15" spans="1:16" ht="16">
      <c r="A15" s="5" t="s">
        <v>13</v>
      </c>
      <c r="B15" s="20">
        <f>+Raw_Financials!B15/FXs!$C$2</f>
        <v>41072.922451875143</v>
      </c>
      <c r="C15" s="20">
        <f>+Raw_Financials!C15/FXs!$C$3</f>
        <v>43973.59532234411</v>
      </c>
      <c r="D15" s="20">
        <f>+Raw_Financials!D15/FXs!$C$4</f>
        <v>47215.650431054288</v>
      </c>
      <c r="E15" s="20">
        <f>+Raw_Financials!E15/FXs!$C$5</f>
        <v>38981.506166280538</v>
      </c>
      <c r="F15" s="20">
        <f>+Raw_Financials!F15/FXs!$C$6</f>
        <v>41117.602201392343</v>
      </c>
      <c r="G15" s="20">
        <f>+Raw_Financials!G15/FXs!$C$7</f>
        <v>33629.397588190426</v>
      </c>
      <c r="H15" s="20">
        <f>+Raw_Financials!H15/FXs!$C$8</f>
        <v>22488.003013927948</v>
      </c>
      <c r="I15" s="20">
        <f>+Raw_Financials!I15/FXs!$C$9</f>
        <v>83465.603623102812</v>
      </c>
      <c r="J15" s="20">
        <f>+Raw_Financials!J15/FXs!$C$10</f>
        <v>76202.734281604629</v>
      </c>
      <c r="K15" s="20">
        <f>+Raw_Financials!K15/FXs!$C$11</f>
        <v>83530.363988523124</v>
      </c>
      <c r="L15" s="20">
        <f t="shared" si="0"/>
        <v>39504.36023767919</v>
      </c>
      <c r="M15" s="20">
        <f t="shared" si="1"/>
        <v>68955.963318967042</v>
      </c>
      <c r="N15" s="21">
        <f t="shared" si="2"/>
        <v>29451.603081287853</v>
      </c>
      <c r="O15" s="21">
        <f t="shared" si="3"/>
        <v>-48850.449006184375</v>
      </c>
      <c r="P15" s="21">
        <f t="shared" si="4"/>
        <v>157310.77256283059</v>
      </c>
    </row>
    <row r="16" spans="1:16" ht="16">
      <c r="A16" s="6" t="s">
        <v>14</v>
      </c>
      <c r="B16" s="20">
        <f>+Raw_Financials!B16/FXs!$C$2</f>
        <v>26763.148261307571</v>
      </c>
      <c r="C16" s="20">
        <f>+Raw_Financials!C16/FXs!$C$3</f>
        <v>22547.275953535944</v>
      </c>
      <c r="D16" s="20">
        <f>+Raw_Financials!D16/FXs!$C$4</f>
        <v>28857.14104141216</v>
      </c>
      <c r="E16" s="20">
        <f>+Raw_Financials!E16/FXs!$C$5</f>
        <v>26390.023117942837</v>
      </c>
      <c r="F16" s="20">
        <f>+Raw_Financials!F16/FXs!$C$6</f>
        <v>27130.073846939555</v>
      </c>
      <c r="G16" s="20">
        <f>+Raw_Financials!G16/FXs!$C$7</f>
        <v>25212.051254473237</v>
      </c>
      <c r="H16" s="20">
        <f>+Raw_Financials!H16/FXs!$C$8</f>
        <v>15420.1292119628</v>
      </c>
      <c r="I16" s="20">
        <f>+Raw_Financials!I16/FXs!$C$9</f>
        <v>48608.464861993976</v>
      </c>
      <c r="J16" s="20">
        <f>+Raw_Financials!J16/FXs!$C$10</f>
        <v>43416.559473105997</v>
      </c>
      <c r="K16" s="20">
        <f>+Raw_Financials!K16/FXs!$C$11</f>
        <v>27301.115738690038</v>
      </c>
      <c r="L16" s="20">
        <f t="shared" si="0"/>
        <v>25506.544220340638</v>
      </c>
      <c r="M16" s="20">
        <f t="shared" si="1"/>
        <v>28468.13471573163</v>
      </c>
      <c r="N16" s="21">
        <f t="shared" si="2"/>
        <v>2961.5904953909921</v>
      </c>
      <c r="O16" s="21">
        <f t="shared" si="3"/>
        <v>16621.772734167662</v>
      </c>
      <c r="P16" s="21">
        <f t="shared" si="4"/>
        <v>37352.90620190461</v>
      </c>
    </row>
    <row r="17" spans="1:16" ht="16">
      <c r="A17" s="5" t="s">
        <v>15</v>
      </c>
      <c r="B17" s="20">
        <f>+Raw_Financials!B17/FXs!$C$2</f>
        <v>0</v>
      </c>
      <c r="C17" s="20">
        <f>+Raw_Financials!C17/FXs!$C$3</f>
        <v>0</v>
      </c>
      <c r="D17" s="20">
        <f>+Raw_Financials!D17/FXs!$C$4</f>
        <v>0</v>
      </c>
      <c r="E17" s="20">
        <f>+Raw_Financials!E17/FXs!$C$5</f>
        <v>0</v>
      </c>
      <c r="F17" s="20">
        <f>+Raw_Financials!F17/FXs!$C$6</f>
        <v>0</v>
      </c>
      <c r="G17" s="20">
        <f>+Raw_Financials!G17/FXs!$C$7</f>
        <v>0</v>
      </c>
      <c r="H17" s="20">
        <f>+Raw_Financials!H17/FXs!$C$8</f>
        <v>0</v>
      </c>
      <c r="I17" s="20">
        <f>+Raw_Financials!I17/FXs!$C$9</f>
        <v>789.18699954368105</v>
      </c>
      <c r="J17" s="20">
        <f>+Raw_Financials!J17/FXs!$C$10</f>
        <v>1209.9726797115766</v>
      </c>
      <c r="K17" s="20">
        <f>+Raw_Financials!K17/FXs!$C$11</f>
        <v>4495.6301269943897</v>
      </c>
      <c r="L17" s="20">
        <f t="shared" si="0"/>
        <v>0</v>
      </c>
      <c r="M17" s="20">
        <f t="shared" si="1"/>
        <v>591.89024965776082</v>
      </c>
      <c r="N17" s="21">
        <f t="shared" si="2"/>
        <v>591.89024965776082</v>
      </c>
      <c r="O17" s="21">
        <f t="shared" si="3"/>
        <v>-1775.6707489732826</v>
      </c>
      <c r="P17" s="21">
        <f t="shared" si="4"/>
        <v>2367.5609986310433</v>
      </c>
    </row>
    <row r="18" spans="1:16" ht="16">
      <c r="A18" s="6" t="s">
        <v>16</v>
      </c>
      <c r="B18" s="20">
        <f>+Raw_Financials!B18/FXs!$C$2</f>
        <v>4812.6157290107894</v>
      </c>
      <c r="C18" s="20">
        <f>+Raw_Financials!C18/FXs!$C$3</f>
        <v>648.59563502196045</v>
      </c>
      <c r="D18" s="20">
        <f>+Raw_Financials!D18/FXs!$C$4</f>
        <v>438.88892326655656</v>
      </c>
      <c r="E18" s="20">
        <f>+Raw_Financials!E18/FXs!$C$5</f>
        <v>144.42765142880756</v>
      </c>
      <c r="F18" s="20">
        <f>+Raw_Financials!F18/FXs!$C$6</f>
        <v>225.23945750063356</v>
      </c>
      <c r="G18" s="20">
        <f>+Raw_Financials!G18/FXs!$C$7</f>
        <v>717.24792422762164</v>
      </c>
      <c r="H18" s="20">
        <f>+Raw_Financials!H18/FXs!$C$8</f>
        <v>5165.9098540471732</v>
      </c>
      <c r="I18" s="20">
        <f>+Raw_Financials!I18/FXs!$C$9</f>
        <v>162547.20287366447</v>
      </c>
      <c r="J18" s="20">
        <f>+Raw_Financials!J18/FXs!$C$10</f>
        <v>124072.32693021382</v>
      </c>
      <c r="K18" s="20">
        <f>+Raw_Financials!K18/FXs!$C$11</f>
        <v>228184.41567939566</v>
      </c>
      <c r="L18" s="20">
        <f t="shared" si="0"/>
        <v>491.31560120540752</v>
      </c>
      <c r="M18" s="20">
        <f t="shared" si="1"/>
        <v>94345.722661172156</v>
      </c>
      <c r="N18" s="21">
        <f t="shared" si="2"/>
        <v>93854.407059966747</v>
      </c>
      <c r="O18" s="21">
        <f t="shared" si="3"/>
        <v>-281071.90557869483</v>
      </c>
      <c r="P18" s="21">
        <f t="shared" si="4"/>
        <v>375908.94384107238</v>
      </c>
    </row>
    <row r="19" spans="1:16" ht="16">
      <c r="A19" s="5" t="s">
        <v>17</v>
      </c>
      <c r="B19" s="20">
        <f>+Raw_Financials!B19/FXs!$C$2</f>
        <v>0</v>
      </c>
      <c r="C19" s="20">
        <f>+Raw_Financials!C19/FXs!$C$3</f>
        <v>0</v>
      </c>
      <c r="D19" s="20">
        <f>+Raw_Financials!D19/FXs!$C$4</f>
        <v>0</v>
      </c>
      <c r="E19" s="20">
        <f>+Raw_Financials!E19/FXs!$C$5</f>
        <v>0</v>
      </c>
      <c r="F19" s="20">
        <f>+Raw_Financials!F19/FXs!$C$6</f>
        <v>0</v>
      </c>
      <c r="G19" s="20">
        <f>+Raw_Financials!G19/FXs!$C$7</f>
        <v>0</v>
      </c>
      <c r="H19" s="20">
        <f>+Raw_Financials!H19/FXs!$C$8</f>
        <v>0</v>
      </c>
      <c r="I19" s="20">
        <f>+Raw_Financials!I19/FXs!$C$9</f>
        <v>0</v>
      </c>
      <c r="J19" s="20">
        <f>+Raw_Financials!J19/FXs!$C$10</f>
        <v>0</v>
      </c>
      <c r="K19" s="20">
        <f>+Raw_Financials!K19/FXs!$C$11</f>
        <v>0</v>
      </c>
      <c r="L19" s="20">
        <f t="shared" si="0"/>
        <v>0</v>
      </c>
      <c r="M19" s="20">
        <f t="shared" si="1"/>
        <v>0</v>
      </c>
      <c r="N19" s="21">
        <f t="shared" si="2"/>
        <v>0</v>
      </c>
      <c r="O19" s="21">
        <f t="shared" si="3"/>
        <v>0</v>
      </c>
      <c r="P19" s="21">
        <f t="shared" si="4"/>
        <v>0</v>
      </c>
    </row>
    <row r="20" spans="1:16" ht="16">
      <c r="A20" s="7" t="s">
        <v>18</v>
      </c>
      <c r="B20" s="20">
        <f>+Raw_Financials!B20/FXs!$C$2</f>
        <v>370923.60973166907</v>
      </c>
      <c r="C20" s="20">
        <f>+Raw_Financials!C20/FXs!$C$3</f>
        <v>377910.49337905075</v>
      </c>
      <c r="D20" s="20">
        <f>+Raw_Financials!D20/FXs!$C$4</f>
        <v>418532.72396159085</v>
      </c>
      <c r="E20" s="20">
        <f>+Raw_Financials!E20/FXs!$C$5</f>
        <v>383696.12019714934</v>
      </c>
      <c r="F20" s="20">
        <f>+Raw_Financials!F20/FXs!$C$6</f>
        <v>402222.17371939536</v>
      </c>
      <c r="G20" s="20">
        <f>+Raw_Financials!G20/FXs!$C$7</f>
        <v>347645.71188363864</v>
      </c>
      <c r="H20" s="20">
        <f>+Raw_Financials!H20/FXs!$C$8</f>
        <v>243363.27768054008</v>
      </c>
      <c r="I20" s="20">
        <f>+Raw_Financials!I20/FXs!$C$9</f>
        <v>700456.16087576386</v>
      </c>
      <c r="J20" s="20">
        <f>+Raw_Financials!J20/FXs!$C$10</f>
        <v>734524.62900948082</v>
      </c>
      <c r="K20" s="20">
        <f>+Raw_Financials!K20/FXs!$C$11</f>
        <v>855926.99388357555</v>
      </c>
      <c r="L20" s="20">
        <f t="shared" si="0"/>
        <v>372670.33064351452</v>
      </c>
      <c r="M20" s="20">
        <f t="shared" si="1"/>
        <v>629975.30164722062</v>
      </c>
      <c r="N20" s="21">
        <f t="shared" si="2"/>
        <v>257304.9710037061</v>
      </c>
      <c r="O20" s="21">
        <f t="shared" si="3"/>
        <v>-399244.58236760378</v>
      </c>
      <c r="P20" s="21">
        <f t="shared" si="4"/>
        <v>1401890.214658339</v>
      </c>
    </row>
    <row r="21" spans="1:16" ht="16">
      <c r="A21" s="5" t="s">
        <v>19</v>
      </c>
      <c r="B21" s="20">
        <f>+Raw_Financials!B21/FXs!$C$2</f>
        <v>58865.197968892426</v>
      </c>
      <c r="C21" s="20">
        <f>+Raw_Financials!C21/FXs!$C$3</f>
        <v>66778.409461620919</v>
      </c>
      <c r="D21" s="20">
        <f>+Raw_Financials!D21/FXs!$C$4</f>
        <v>81214.363974564127</v>
      </c>
      <c r="E21" s="20">
        <f>+Raw_Financials!E21/FXs!$C$5</f>
        <v>77459.668442392838</v>
      </c>
      <c r="F21" s="20">
        <f>+Raw_Financials!F21/FXs!$C$6</f>
        <v>87270.011975599904</v>
      </c>
      <c r="G21" s="20">
        <f>+Raw_Financials!G21/FXs!$C$7</f>
        <v>80131.252305240647</v>
      </c>
      <c r="H21" s="20">
        <f>+Raw_Financials!H21/FXs!$C$8</f>
        <v>55223.589984296879</v>
      </c>
      <c r="I21" s="20">
        <f>+Raw_Financials!I21/FXs!$C$9</f>
        <v>206253.12000854808</v>
      </c>
      <c r="J21" s="20">
        <f>+Raw_Financials!J21/FXs!$C$10</f>
        <v>187258.13233973243</v>
      </c>
      <c r="K21" s="20">
        <f>+Raw_Financials!K21/FXs!$C$11</f>
        <v>203510.60342309313</v>
      </c>
      <c r="L21" s="20">
        <f t="shared" si="0"/>
        <v>69448.724206813902</v>
      </c>
      <c r="M21" s="20">
        <f t="shared" si="1"/>
        <v>162261.10224869929</v>
      </c>
      <c r="N21" s="21">
        <f t="shared" si="2"/>
        <v>92812.378041885386</v>
      </c>
      <c r="O21" s="21">
        <f t="shared" si="3"/>
        <v>-208988.40991884226</v>
      </c>
      <c r="P21" s="21">
        <f t="shared" si="4"/>
        <v>440698.23637435545</v>
      </c>
    </row>
    <row r="22" spans="1:16" ht="16">
      <c r="A22" s="7" t="s">
        <v>20</v>
      </c>
      <c r="B22" s="20">
        <f>+Raw_Financials!B22/FXs!$C$2</f>
        <v>312058.41176277667</v>
      </c>
      <c r="C22" s="20">
        <f>+Raw_Financials!C22/FXs!$C$3</f>
        <v>311132.08391742985</v>
      </c>
      <c r="D22" s="20">
        <f>+Raw_Financials!D22/FXs!$C$4</f>
        <v>337318.35998702672</v>
      </c>
      <c r="E22" s="20">
        <f>+Raw_Financials!E22/FXs!$C$5</f>
        <v>306236.4517547565</v>
      </c>
      <c r="F22" s="20">
        <f>+Raw_Financials!F22/FXs!$C$6</f>
        <v>314952.16174379544</v>
      </c>
      <c r="G22" s="20">
        <f>+Raw_Financials!G22/FXs!$C$7</f>
        <v>267514.45957839797</v>
      </c>
      <c r="H22" s="20">
        <f>+Raw_Financials!H22/FXs!$C$8</f>
        <v>188139.6876962432</v>
      </c>
      <c r="I22" s="20">
        <f>+Raw_Financials!I22/FXs!$C$9</f>
        <v>494203.04086721584</v>
      </c>
      <c r="J22" s="20">
        <f>+Raw_Financials!J22/FXs!$C$10</f>
        <v>547266.49666974833</v>
      </c>
      <c r="K22" s="20">
        <f>+Raw_Financials!K22/FXs!$C$11</f>
        <v>652416.39046048233</v>
      </c>
      <c r="L22" s="20">
        <f t="shared" si="0"/>
        <v>307460.35979542485</v>
      </c>
      <c r="M22" s="20">
        <f t="shared" si="1"/>
        <v>454981.87064716854</v>
      </c>
      <c r="N22" s="21">
        <f t="shared" si="2"/>
        <v>147521.51085174369</v>
      </c>
      <c r="O22" s="21">
        <f t="shared" si="3"/>
        <v>-135104.17275980621</v>
      </c>
      <c r="P22" s="21">
        <f t="shared" si="4"/>
        <v>897546.40320239961</v>
      </c>
    </row>
    <row r="23" spans="1:16" ht="16">
      <c r="A23" s="5" t="s">
        <v>21</v>
      </c>
      <c r="B23" s="20">
        <f>+Raw_Financials!B23/FXs!$C$2</f>
        <v>1720.358618346138</v>
      </c>
      <c r="C23" s="20">
        <f>+Raw_Financials!C23/FXs!$C$3</f>
        <v>1438.4621998947205</v>
      </c>
      <c r="D23" s="20">
        <f>+Raw_Financials!D23/FXs!$C$4</f>
        <v>1304.3331831716491</v>
      </c>
      <c r="E23" s="20">
        <f>+Raw_Financials!E23/FXs!$C$5</f>
        <v>945.82960747958953</v>
      </c>
      <c r="F23" s="20">
        <f>+Raw_Financials!F23/FXs!$C$6</f>
        <v>859.71384700196916</v>
      </c>
      <c r="G23" s="20">
        <f>+Raw_Financials!G23/FXs!$C$7</f>
        <v>649.99956077247771</v>
      </c>
      <c r="H23" s="20">
        <f>+Raw_Financials!H23/FXs!$C$8</f>
        <v>3393.0080017894379</v>
      </c>
      <c r="I23" s="20">
        <f>+Raw_Financials!I23/FXs!$C$9</f>
        <v>269.28677191691366</v>
      </c>
      <c r="J23" s="20">
        <f>+Raw_Financials!J23/FXs!$C$10</f>
        <v>172.92370730292205</v>
      </c>
      <c r="K23" s="20">
        <f>+Raw_Financials!K23/FXs!$C$11</f>
        <v>143.78622763513289</v>
      </c>
      <c r="L23" s="20">
        <f t="shared" si="0"/>
        <v>364.46496913080466</v>
      </c>
      <c r="M23" s="20">
        <f t="shared" si="1"/>
        <v>1404.9299457139527</v>
      </c>
      <c r="N23" s="21">
        <f t="shared" si="2"/>
        <v>1040.4649765831482</v>
      </c>
      <c r="O23" s="21">
        <f t="shared" si="3"/>
        <v>-2756.9299606186401</v>
      </c>
      <c r="P23" s="21">
        <f t="shared" si="4"/>
        <v>4526.3248754633969</v>
      </c>
    </row>
    <row r="24" spans="1:16" ht="16">
      <c r="A24" s="6" t="s">
        <v>22</v>
      </c>
      <c r="B24" s="20">
        <f>+Raw_Financials!B24/FXs!$C$2</f>
        <v>0</v>
      </c>
      <c r="C24" s="20">
        <f>+Raw_Financials!C24/FXs!$C$3</f>
        <v>0</v>
      </c>
      <c r="D24" s="20">
        <f>+Raw_Financials!D24/FXs!$C$4</f>
        <v>0</v>
      </c>
      <c r="E24" s="20">
        <f>+Raw_Financials!E24/FXs!$C$5</f>
        <v>0</v>
      </c>
      <c r="F24" s="20">
        <f>+Raw_Financials!F24/FXs!$C$6</f>
        <v>0</v>
      </c>
      <c r="G24" s="20">
        <f>+Raw_Financials!G24/FXs!$C$7</f>
        <v>0</v>
      </c>
      <c r="H24" s="20">
        <f>+Raw_Financials!H24/FXs!$C$8</f>
        <v>0</v>
      </c>
      <c r="I24" s="20">
        <f>+Raw_Financials!I24/FXs!$C$9</f>
        <v>0</v>
      </c>
      <c r="J24" s="20">
        <f>+Raw_Financials!J24/FXs!$C$10</f>
        <v>0</v>
      </c>
      <c r="K24" s="20">
        <f>+Raw_Financials!K24/FXs!$C$11</f>
        <v>0</v>
      </c>
      <c r="L24" s="20">
        <f t="shared" si="0"/>
        <v>0</v>
      </c>
      <c r="M24" s="20">
        <f t="shared" si="1"/>
        <v>0</v>
      </c>
      <c r="N24" s="21">
        <f t="shared" si="2"/>
        <v>0</v>
      </c>
      <c r="O24" s="21">
        <f t="shared" si="3"/>
        <v>0</v>
      </c>
      <c r="P24" s="21">
        <f t="shared" si="4"/>
        <v>0</v>
      </c>
    </row>
    <row r="25" spans="1:16" ht="16">
      <c r="A25" s="5" t="s">
        <v>23</v>
      </c>
      <c r="B25" s="20">
        <f>+Raw_Financials!B25/FXs!$C$2</f>
        <v>0</v>
      </c>
      <c r="C25" s="20">
        <f>+Raw_Financials!C25/FXs!$C$3</f>
        <v>0</v>
      </c>
      <c r="D25" s="20">
        <f>+Raw_Financials!D25/FXs!$C$4</f>
        <v>0</v>
      </c>
      <c r="E25" s="20">
        <f>+Raw_Financials!E25/FXs!$C$5</f>
        <v>0</v>
      </c>
      <c r="F25" s="20">
        <f>+Raw_Financials!F25/FXs!$C$6</f>
        <v>0</v>
      </c>
      <c r="G25" s="20">
        <f>+Raw_Financials!G25/FXs!$C$7</f>
        <v>0</v>
      </c>
      <c r="H25" s="20">
        <f>+Raw_Financials!H25/FXs!$C$8</f>
        <v>0</v>
      </c>
      <c r="I25" s="20">
        <f>+Raw_Financials!I25/FXs!$C$9</f>
        <v>0</v>
      </c>
      <c r="J25" s="20">
        <f>+Raw_Financials!J25/FXs!$C$10</f>
        <v>0</v>
      </c>
      <c r="K25" s="20">
        <f>+Raw_Financials!K25/FXs!$C$11</f>
        <v>0</v>
      </c>
      <c r="L25" s="20">
        <f t="shared" si="0"/>
        <v>0</v>
      </c>
      <c r="M25" s="20">
        <f t="shared" si="1"/>
        <v>0</v>
      </c>
      <c r="N25" s="21">
        <f t="shared" si="2"/>
        <v>0</v>
      </c>
      <c r="O25" s="21">
        <f t="shared" si="3"/>
        <v>0</v>
      </c>
      <c r="P25" s="21">
        <f t="shared" si="4"/>
        <v>0</v>
      </c>
    </row>
    <row r="26" spans="1:16" ht="16">
      <c r="A26" s="6" t="s">
        <v>24</v>
      </c>
      <c r="B26" s="20">
        <f>+Raw_Financials!B26/FXs!$C$2</f>
        <v>0</v>
      </c>
      <c r="C26" s="20">
        <f>+Raw_Financials!C26/FXs!$C$3</f>
        <v>0</v>
      </c>
      <c r="D26" s="20">
        <f>+Raw_Financials!D26/FXs!$C$4</f>
        <v>0</v>
      </c>
      <c r="E26" s="20">
        <f>+Raw_Financials!E26/FXs!$C$5</f>
        <v>0</v>
      </c>
      <c r="F26" s="20">
        <f>+Raw_Financials!F26/FXs!$C$6</f>
        <v>0</v>
      </c>
      <c r="G26" s="20">
        <f>+Raw_Financials!G26/FXs!$C$7</f>
        <v>0</v>
      </c>
      <c r="H26" s="20">
        <f>+Raw_Financials!H26/FXs!$C$8</f>
        <v>0</v>
      </c>
      <c r="I26" s="20">
        <f>+Raw_Financials!I26/FXs!$C$9</f>
        <v>0</v>
      </c>
      <c r="J26" s="20">
        <f>+Raw_Financials!J26/FXs!$C$10</f>
        <v>0</v>
      </c>
      <c r="K26" s="20">
        <f>+Raw_Financials!K26/FXs!$C$11</f>
        <v>0</v>
      </c>
      <c r="L26" s="20">
        <f t="shared" si="0"/>
        <v>0</v>
      </c>
      <c r="M26" s="20">
        <f t="shared" si="1"/>
        <v>0</v>
      </c>
      <c r="N26" s="21">
        <f t="shared" si="2"/>
        <v>0</v>
      </c>
      <c r="O26" s="21">
        <f t="shared" si="3"/>
        <v>0</v>
      </c>
      <c r="P26" s="21">
        <f t="shared" si="4"/>
        <v>0</v>
      </c>
    </row>
    <row r="27" spans="1:16" ht="16">
      <c r="A27" s="5" t="s">
        <v>25</v>
      </c>
      <c r="B27" s="20">
        <f>+Raw_Financials!B27/FXs!$C$2</f>
        <v>0</v>
      </c>
      <c r="C27" s="20">
        <f>+Raw_Financials!C27/FXs!$C$3</f>
        <v>0</v>
      </c>
      <c r="D27" s="20">
        <f>+Raw_Financials!D27/FXs!$C$4</f>
        <v>0</v>
      </c>
      <c r="E27" s="20">
        <f>+Raw_Financials!E27/FXs!$C$5</f>
        <v>0</v>
      </c>
      <c r="F27" s="20">
        <f>+Raw_Financials!F27/FXs!$C$6</f>
        <v>0</v>
      </c>
      <c r="G27" s="20">
        <f>+Raw_Financials!G27/FXs!$C$7</f>
        <v>0</v>
      </c>
      <c r="H27" s="20">
        <f>+Raw_Financials!H27/FXs!$C$8</f>
        <v>0</v>
      </c>
      <c r="I27" s="20">
        <f>+Raw_Financials!I27/FXs!$C$9</f>
        <v>0</v>
      </c>
      <c r="J27" s="20">
        <f>+Raw_Financials!J27/FXs!$C$10</f>
        <v>0</v>
      </c>
      <c r="K27" s="20">
        <f>+Raw_Financials!K27/FXs!$C$11</f>
        <v>0</v>
      </c>
      <c r="L27" s="20">
        <f t="shared" si="0"/>
        <v>0</v>
      </c>
      <c r="M27" s="20">
        <f t="shared" si="1"/>
        <v>0</v>
      </c>
      <c r="N27" s="21">
        <f t="shared" si="2"/>
        <v>0</v>
      </c>
      <c r="O27" s="21">
        <f t="shared" si="3"/>
        <v>0</v>
      </c>
      <c r="P27" s="21">
        <f t="shared" si="4"/>
        <v>0</v>
      </c>
    </row>
    <row r="28" spans="1:16" ht="16">
      <c r="A28" s="6" t="s">
        <v>26</v>
      </c>
      <c r="B28" s="20">
        <f>+Raw_Financials!B28/FXs!$C$2</f>
        <v>0</v>
      </c>
      <c r="C28" s="20">
        <f>+Raw_Financials!C28/FXs!$C$3</f>
        <v>0</v>
      </c>
      <c r="D28" s="20">
        <f>+Raw_Financials!D28/FXs!$C$4</f>
        <v>0</v>
      </c>
      <c r="E28" s="20">
        <f>+Raw_Financials!E28/FXs!$C$5</f>
        <v>0</v>
      </c>
      <c r="F28" s="20">
        <f>+Raw_Financials!F28/FXs!$C$6</f>
        <v>0</v>
      </c>
      <c r="G28" s="20">
        <f>+Raw_Financials!G28/FXs!$C$7</f>
        <v>0</v>
      </c>
      <c r="H28" s="20">
        <f>+Raw_Financials!H28/FXs!$C$8</f>
        <v>0</v>
      </c>
      <c r="I28" s="20">
        <f>+Raw_Financials!I28/FXs!$C$9</f>
        <v>0</v>
      </c>
      <c r="J28" s="20">
        <f>+Raw_Financials!J28/FXs!$C$10</f>
        <v>0</v>
      </c>
      <c r="K28" s="20">
        <f>+Raw_Financials!K28/FXs!$C$11</f>
        <v>0</v>
      </c>
      <c r="L28" s="20">
        <f t="shared" si="0"/>
        <v>0</v>
      </c>
      <c r="M28" s="20">
        <f t="shared" si="1"/>
        <v>0</v>
      </c>
      <c r="N28" s="21">
        <f t="shared" si="2"/>
        <v>0</v>
      </c>
      <c r="O28" s="21">
        <f t="shared" si="3"/>
        <v>0</v>
      </c>
      <c r="P28" s="21">
        <f t="shared" si="4"/>
        <v>0</v>
      </c>
    </row>
    <row r="29" spans="1:16" ht="16">
      <c r="A29" s="5" t="s">
        <v>27</v>
      </c>
      <c r="B29" s="20">
        <f>+Raw_Financials!B29/FXs!$C$2</f>
        <v>0</v>
      </c>
      <c r="C29" s="20">
        <f>+Raw_Financials!C29/FXs!$C$3</f>
        <v>0</v>
      </c>
      <c r="D29" s="20">
        <f>+Raw_Financials!D29/FXs!$C$4</f>
        <v>0</v>
      </c>
      <c r="E29" s="20">
        <f>+Raw_Financials!E29/FXs!$C$5</f>
        <v>0</v>
      </c>
      <c r="F29" s="20">
        <f>+Raw_Financials!F29/FXs!$C$6</f>
        <v>0</v>
      </c>
      <c r="G29" s="20">
        <f>+Raw_Financials!G29/FXs!$C$7</f>
        <v>0</v>
      </c>
      <c r="H29" s="20">
        <f>+Raw_Financials!H29/FXs!$C$8</f>
        <v>0</v>
      </c>
      <c r="I29" s="20">
        <f>+Raw_Financials!I29/FXs!$C$9</f>
        <v>0</v>
      </c>
      <c r="J29" s="20">
        <f>+Raw_Financials!J29/FXs!$C$10</f>
        <v>0</v>
      </c>
      <c r="K29" s="20">
        <f>+Raw_Financials!K29/FXs!$C$11</f>
        <v>0</v>
      </c>
      <c r="L29" s="20">
        <f t="shared" si="0"/>
        <v>0</v>
      </c>
      <c r="M29" s="20">
        <f t="shared" si="1"/>
        <v>0</v>
      </c>
      <c r="N29" s="21">
        <f t="shared" si="2"/>
        <v>0</v>
      </c>
      <c r="O29" s="21">
        <f t="shared" si="3"/>
        <v>0</v>
      </c>
      <c r="P29" s="21">
        <f t="shared" si="4"/>
        <v>0</v>
      </c>
    </row>
    <row r="30" spans="1:16" ht="16">
      <c r="A30" s="6" t="s">
        <v>28</v>
      </c>
      <c r="B30" s="20">
        <f>+Raw_Financials!B30/FXs!$C$2</f>
        <v>401.62382780596215</v>
      </c>
      <c r="C30" s="20">
        <f>+Raw_Financials!C30/FXs!$C$3</f>
        <v>3892.4993095038026</v>
      </c>
      <c r="D30" s="20">
        <f>+Raw_Financials!D30/FXs!$C$4</f>
        <v>3648.2385912194663</v>
      </c>
      <c r="E30" s="20">
        <f>+Raw_Financials!E30/FXs!$C$5</f>
        <v>7484.4537039862435</v>
      </c>
      <c r="F30" s="20">
        <f>+Raw_Financials!F30/FXs!$C$6</f>
        <v>6944.6014803648113</v>
      </c>
      <c r="G30" s="20">
        <f>+Raw_Financials!G30/FXs!$C$7</f>
        <v>5345.6635629798802</v>
      </c>
      <c r="H30" s="20">
        <f>+Raw_Financials!H30/FXs!$C$8</f>
        <v>3413.6911588228686</v>
      </c>
      <c r="I30" s="20">
        <f>+Raw_Financials!I30/FXs!$C$9</f>
        <v>28516.776431398968</v>
      </c>
      <c r="J30" s="20">
        <f>+Raw_Financials!J30/FXs!$C$10</f>
        <v>26118.798694874084</v>
      </c>
      <c r="K30" s="20">
        <f>+Raw_Financials!K30/FXs!$C$11</f>
        <v>29388.326602933728</v>
      </c>
      <c r="L30" s="20">
        <f t="shared" si="0"/>
        <v>3709.3037707905505</v>
      </c>
      <c r="M30" s="20">
        <f t="shared" si="1"/>
        <v>21460.212447152124</v>
      </c>
      <c r="N30" s="21">
        <f t="shared" si="2"/>
        <v>17750.908676361574</v>
      </c>
      <c r="O30" s="21">
        <f t="shared" si="3"/>
        <v>-49543.422258294166</v>
      </c>
      <c r="P30" s="21">
        <f t="shared" si="4"/>
        <v>74712.938476236843</v>
      </c>
    </row>
    <row r="31" spans="1:16" ht="16">
      <c r="A31" s="5" t="s">
        <v>29</v>
      </c>
      <c r="B31" s="20">
        <f>+Raw_Financials!B31/FXs!$C$2</f>
        <v>0</v>
      </c>
      <c r="C31" s="20">
        <f>+Raw_Financials!C31/FXs!$C$3</f>
        <v>2515.9380846417816</v>
      </c>
      <c r="D31" s="20">
        <f>+Raw_Financials!D31/FXs!$C$4</f>
        <v>2970.5358667752162</v>
      </c>
      <c r="E31" s="20">
        <f>+Raw_Financials!E31/FXs!$C$5</f>
        <v>3559.5746872885484</v>
      </c>
      <c r="F31" s="20">
        <f>+Raw_Financials!F31/FXs!$C$6</f>
        <v>4496.0460429906716</v>
      </c>
      <c r="G31" s="20">
        <f>+Raw_Financials!G31/FXs!$C$7</f>
        <v>4182.3712260923694</v>
      </c>
      <c r="H31" s="20">
        <f>+Raw_Financials!H31/FXs!$C$8</f>
        <v>2917.2465301903621</v>
      </c>
      <c r="I31" s="20">
        <f>+Raw_Financials!I31/FXs!$C$9</f>
        <v>19892.483551143538</v>
      </c>
      <c r="J31" s="20">
        <f>+Raw_Financials!J31/FXs!$C$10</f>
        <v>20211.415481682659</v>
      </c>
      <c r="K31" s="20">
        <f>+Raw_Financials!K31/FXs!$C$11</f>
        <v>22746.077906808932</v>
      </c>
      <c r="L31" s="20">
        <f t="shared" si="0"/>
        <v>2930.5688643365756</v>
      </c>
      <c r="M31" s="20">
        <f t="shared" si="1"/>
        <v>16043.37417410532</v>
      </c>
      <c r="N31" s="21">
        <f t="shared" si="2"/>
        <v>13112.805309768744</v>
      </c>
      <c r="O31" s="21">
        <f t="shared" si="3"/>
        <v>-36407.847064969654</v>
      </c>
      <c r="P31" s="21">
        <f t="shared" si="4"/>
        <v>55381.790103411549</v>
      </c>
    </row>
    <row r="32" spans="1:16" ht="16">
      <c r="A32" s="7" t="s">
        <v>30</v>
      </c>
      <c r="B32" s="20">
        <f>+Raw_Financials!B32/FXs!$C$2</f>
        <v>2121.9824461521002</v>
      </c>
      <c r="C32" s="20">
        <f>+Raw_Financials!C32/FXs!$C$3</f>
        <v>2815.023424756741</v>
      </c>
      <c r="D32" s="20">
        <f>+Raw_Financials!D32/FXs!$C$4</f>
        <v>1982.0359076158995</v>
      </c>
      <c r="E32" s="20">
        <f>+Raw_Financials!E32/FXs!$C$5</f>
        <v>4870.708624177284</v>
      </c>
      <c r="F32" s="20">
        <f>+Raw_Financials!F32/FXs!$C$6</f>
        <v>3308.2692843761088</v>
      </c>
      <c r="G32" s="20">
        <f>+Raw_Financials!G32/FXs!$C$7</f>
        <v>1813.2918976599876</v>
      </c>
      <c r="H32" s="20">
        <f>+Raw_Financials!H32/FXs!$C$8</f>
        <v>3889.4526304219439</v>
      </c>
      <c r="I32" s="20">
        <f>+Raw_Financials!I32/FXs!$C$9</f>
        <v>8893.5796521723478</v>
      </c>
      <c r="J32" s="20">
        <f>+Raw_Financials!J32/FXs!$C$10</f>
        <v>6080.3069204943486</v>
      </c>
      <c r="K32" s="20">
        <f>+Raw_Financials!K32/FXs!$C$11</f>
        <v>6786.0349237599266</v>
      </c>
      <c r="L32" s="20">
        <f t="shared" si="0"/>
        <v>2295.2426908032603</v>
      </c>
      <c r="M32" s="20">
        <f t="shared" si="1"/>
        <v>5777.9073464150824</v>
      </c>
      <c r="N32" s="21">
        <f t="shared" si="2"/>
        <v>3482.6646556118221</v>
      </c>
      <c r="O32" s="21">
        <f t="shared" si="3"/>
        <v>-8152.751276032207</v>
      </c>
      <c r="P32" s="21">
        <f t="shared" si="4"/>
        <v>16225.90131325055</v>
      </c>
    </row>
    <row r="33" spans="1:16" ht="16">
      <c r="A33" s="5" t="s">
        <v>31</v>
      </c>
      <c r="B33" s="20">
        <f>+Raw_Financials!B33/FXs!$C$2</f>
        <v>255.11282274458802</v>
      </c>
      <c r="C33" s="20">
        <f>+Raw_Financials!C33/FXs!$C$3</f>
        <v>280.66621154717825</v>
      </c>
      <c r="D33" s="20">
        <f>+Raw_Financials!D33/FXs!$C$4</f>
        <v>2581.9665527252851</v>
      </c>
      <c r="E33" s="20">
        <f>+Raw_Financials!E33/FXs!$C$5</f>
        <v>2085.9863805163163</v>
      </c>
      <c r="F33" s="20">
        <f>+Raw_Financials!F33/FXs!$C$6</f>
        <v>3071.3204461962141</v>
      </c>
      <c r="G33" s="20">
        <f>+Raw_Financials!G33/FXs!$C$7</f>
        <v>1974.5357111684871</v>
      </c>
      <c r="H33" s="20">
        <f>+Raw_Financials!H33/FXs!$C$8</f>
        <v>3038.3382644170533</v>
      </c>
      <c r="I33" s="20">
        <f>+Raw_Financials!I33/FXs!$C$9</f>
        <v>4076.5281272583511</v>
      </c>
      <c r="J33" s="20">
        <f>+Raw_Financials!J33/FXs!$C$10</f>
        <v>10700.917169860262</v>
      </c>
      <c r="K33" s="20">
        <f>+Raw_Financials!K33/FXs!$C$11</f>
        <v>15959.335094970585</v>
      </c>
      <c r="L33" s="20">
        <f t="shared" si="0"/>
        <v>2002.3983785054443</v>
      </c>
      <c r="M33" s="20">
        <f t="shared" si="1"/>
        <v>3825.226206992817</v>
      </c>
      <c r="N33" s="21">
        <f t="shared" si="2"/>
        <v>1822.8278284873727</v>
      </c>
      <c r="O33" s="21">
        <f t="shared" si="3"/>
        <v>-3466.0851069566743</v>
      </c>
      <c r="P33" s="21">
        <f t="shared" si="4"/>
        <v>9293.7096924549351</v>
      </c>
    </row>
    <row r="34" spans="1:16" ht="16">
      <c r="A34" s="6" t="s">
        <v>32</v>
      </c>
      <c r="B34" s="20">
        <f>+Raw_Financials!B34/FXs!$C$2</f>
        <v>171.26595465628532</v>
      </c>
      <c r="C34" s="20">
        <f>+Raw_Financials!C34/FXs!$C$3</f>
        <v>3211.9669239307477</v>
      </c>
      <c r="D34" s="20">
        <f>+Raw_Financials!D34/FXs!$C$4</f>
        <v>0</v>
      </c>
      <c r="E34" s="20">
        <f>+Raw_Financials!E34/FXs!$C$5</f>
        <v>0</v>
      </c>
      <c r="F34" s="20">
        <f>+Raw_Financials!F34/FXs!$C$6</f>
        <v>0</v>
      </c>
      <c r="G34" s="20">
        <f>+Raw_Financials!G34/FXs!$C$7</f>
        <v>0</v>
      </c>
      <c r="H34" s="20">
        <f>+Raw_Financials!H34/FXs!$C$8</f>
        <v>0</v>
      </c>
      <c r="I34" s="20">
        <f>+Raw_Financials!I34/FXs!$C$9</f>
        <v>0</v>
      </c>
      <c r="J34" s="20">
        <f>+Raw_Financials!J34/FXs!$C$10</f>
        <v>0</v>
      </c>
      <c r="K34" s="20">
        <f>+Raw_Financials!K34/FXs!$C$11</f>
        <v>0</v>
      </c>
      <c r="L34" s="20">
        <f t="shared" si="0"/>
        <v>0</v>
      </c>
      <c r="M34" s="20">
        <f t="shared" si="1"/>
        <v>0</v>
      </c>
      <c r="N34" s="21">
        <f t="shared" si="2"/>
        <v>0</v>
      </c>
      <c r="O34" s="21">
        <f t="shared" si="3"/>
        <v>0</v>
      </c>
      <c r="P34" s="21">
        <f t="shared" si="4"/>
        <v>0</v>
      </c>
    </row>
    <row r="35" spans="1:16" ht="16">
      <c r="A35" s="5" t="s">
        <v>33</v>
      </c>
      <c r="B35" s="20">
        <f>+Raw_Financials!B35/FXs!$C$2</f>
        <v>0</v>
      </c>
      <c r="C35" s="20">
        <f>+Raw_Financials!C35/FXs!$C$3</f>
        <v>0</v>
      </c>
      <c r="D35" s="20">
        <f>+Raw_Financials!D35/FXs!$C$4</f>
        <v>0</v>
      </c>
      <c r="E35" s="20">
        <f>+Raw_Financials!E35/FXs!$C$5</f>
        <v>0</v>
      </c>
      <c r="F35" s="20">
        <f>+Raw_Financials!F35/FXs!$C$6</f>
        <v>0</v>
      </c>
      <c r="G35" s="20">
        <f>+Raw_Financials!G35/FXs!$C$7</f>
        <v>0</v>
      </c>
      <c r="H35" s="20">
        <f>+Raw_Financials!H35/FXs!$C$8</f>
        <v>0</v>
      </c>
      <c r="I35" s="20">
        <f>+Raw_Financials!I35/FXs!$C$9</f>
        <v>0</v>
      </c>
      <c r="J35" s="20">
        <f>+Raw_Financials!J35/FXs!$C$10</f>
        <v>0</v>
      </c>
      <c r="K35" s="20">
        <f>+Raw_Financials!K35/FXs!$C$11</f>
        <v>0</v>
      </c>
      <c r="L35" s="20">
        <f t="shared" si="0"/>
        <v>0</v>
      </c>
      <c r="M35" s="20">
        <f t="shared" si="1"/>
        <v>0</v>
      </c>
      <c r="N35" s="21">
        <f t="shared" si="2"/>
        <v>0</v>
      </c>
      <c r="O35" s="21">
        <f t="shared" si="3"/>
        <v>0</v>
      </c>
      <c r="P35" s="21">
        <f t="shared" si="4"/>
        <v>0</v>
      </c>
    </row>
    <row r="36" spans="1:16" ht="16">
      <c r="A36" s="6" t="s">
        <v>34</v>
      </c>
      <c r="B36" s="20">
        <f>+Raw_Financials!B36/FXs!$C$2</f>
        <v>4475.9331946274242</v>
      </c>
      <c r="C36" s="20">
        <f>+Raw_Financials!C36/FXs!$C$3</f>
        <v>537.28405709490903</v>
      </c>
      <c r="D36" s="20">
        <f>+Raw_Financials!D36/FXs!$C$4</f>
        <v>0</v>
      </c>
      <c r="E36" s="20">
        <f>+Raw_Financials!E36/FXs!$C$5</f>
        <v>0</v>
      </c>
      <c r="F36" s="20">
        <f>+Raw_Financials!F36/FXs!$C$6</f>
        <v>0</v>
      </c>
      <c r="G36" s="20">
        <f>+Raw_Financials!G36/FXs!$C$7</f>
        <v>0</v>
      </c>
      <c r="H36" s="20">
        <f>+Raw_Financials!H36/FXs!$C$8</f>
        <v>0</v>
      </c>
      <c r="I36" s="20">
        <f>+Raw_Financials!I36/FXs!$C$9</f>
        <v>0</v>
      </c>
      <c r="J36" s="20">
        <f>+Raw_Financials!J36/FXs!$C$10</f>
        <v>0</v>
      </c>
      <c r="K36" s="20">
        <f>+Raw_Financials!K36/FXs!$C$11</f>
        <v>0</v>
      </c>
      <c r="L36" s="20">
        <f t="shared" si="0"/>
        <v>0</v>
      </c>
      <c r="M36" s="20">
        <f t="shared" si="1"/>
        <v>0</v>
      </c>
      <c r="N36" s="21">
        <f t="shared" si="2"/>
        <v>0</v>
      </c>
      <c r="O36" s="21">
        <f t="shared" si="3"/>
        <v>0</v>
      </c>
      <c r="P36" s="21">
        <f t="shared" si="4"/>
        <v>0</v>
      </c>
    </row>
    <row r="37" spans="1:16" ht="16">
      <c r="A37" s="5" t="s">
        <v>35</v>
      </c>
      <c r="B37" s="20">
        <f>+Raw_Financials!B37/FXs!$C$2</f>
        <v>1350.5834441192055</v>
      </c>
      <c r="C37" s="20">
        <f>+Raw_Financials!C37/FXs!$C$3</f>
        <v>4200.4443929105255</v>
      </c>
      <c r="D37" s="20">
        <f>+Raw_Financials!D37/FXs!$C$4</f>
        <v>0</v>
      </c>
      <c r="E37" s="20">
        <f>+Raw_Financials!E37/FXs!$C$5</f>
        <v>0</v>
      </c>
      <c r="F37" s="20">
        <f>+Raw_Financials!F37/FXs!$C$6</f>
        <v>0</v>
      </c>
      <c r="G37" s="20">
        <f>+Raw_Financials!G37/FXs!$C$7</f>
        <v>0</v>
      </c>
      <c r="H37" s="20">
        <f>+Raw_Financials!H37/FXs!$C$8</f>
        <v>0</v>
      </c>
      <c r="I37" s="20">
        <f>+Raw_Financials!I37/FXs!$C$9</f>
        <v>2560.7525609535355</v>
      </c>
      <c r="J37" s="20">
        <f>+Raw_Financials!J37/FXs!$C$10</f>
        <v>0</v>
      </c>
      <c r="K37" s="20">
        <f>+Raw_Financials!K37/FXs!$C$11</f>
        <v>0</v>
      </c>
      <c r="L37" s="20">
        <f t="shared" si="0"/>
        <v>0</v>
      </c>
      <c r="M37" s="20">
        <f t="shared" si="1"/>
        <v>1012.9375830894041</v>
      </c>
      <c r="N37" s="21">
        <f t="shared" si="2"/>
        <v>1012.9375830894041</v>
      </c>
      <c r="O37" s="21">
        <f t="shared" si="3"/>
        <v>-3038.8127492682124</v>
      </c>
      <c r="P37" s="21">
        <f t="shared" si="4"/>
        <v>4051.7503323576166</v>
      </c>
    </row>
    <row r="38" spans="1:16" ht="16">
      <c r="A38" s="6" t="s">
        <v>36</v>
      </c>
      <c r="B38" s="20">
        <f>+Raw_Financials!B38/FXs!$C$2</f>
        <v>0</v>
      </c>
      <c r="C38" s="20">
        <f>+Raw_Financials!C38/FXs!$C$3</f>
        <v>0</v>
      </c>
      <c r="D38" s="20">
        <f>+Raw_Financials!D38/FXs!$C$4</f>
        <v>0</v>
      </c>
      <c r="E38" s="20">
        <f>+Raw_Financials!E38/FXs!$C$5</f>
        <v>0</v>
      </c>
      <c r="F38" s="20">
        <f>+Raw_Financials!F38/FXs!$C$6</f>
        <v>0</v>
      </c>
      <c r="G38" s="20">
        <f>+Raw_Financials!G38/FXs!$C$7</f>
        <v>0</v>
      </c>
      <c r="H38" s="20">
        <f>+Raw_Financials!H38/FXs!$C$8</f>
        <v>0</v>
      </c>
      <c r="I38" s="20">
        <f>+Raw_Financials!I38/FXs!$C$9</f>
        <v>0</v>
      </c>
      <c r="J38" s="20">
        <f>+Raw_Financials!J38/FXs!$C$10</f>
        <v>0</v>
      </c>
      <c r="K38" s="20">
        <f>+Raw_Financials!K38/FXs!$C$11</f>
        <v>0</v>
      </c>
      <c r="L38" s="20">
        <f t="shared" si="0"/>
        <v>0</v>
      </c>
      <c r="M38" s="20">
        <f t="shared" si="1"/>
        <v>0</v>
      </c>
      <c r="N38" s="21">
        <f t="shared" si="2"/>
        <v>0</v>
      </c>
      <c r="O38" s="21">
        <f t="shared" si="3"/>
        <v>0</v>
      </c>
      <c r="P38" s="21">
        <f t="shared" si="4"/>
        <v>0</v>
      </c>
    </row>
    <row r="39" spans="1:16" ht="16">
      <c r="A39" s="5" t="s">
        <v>37</v>
      </c>
      <c r="B39" s="20">
        <f>+Raw_Financials!B39/FXs!$C$2</f>
        <v>0</v>
      </c>
      <c r="C39" s="20">
        <f>+Raw_Financials!C39/FXs!$C$3</f>
        <v>0</v>
      </c>
      <c r="D39" s="20">
        <f>+Raw_Financials!D39/FXs!$C$4</f>
        <v>0</v>
      </c>
      <c r="E39" s="20">
        <f>+Raw_Financials!E39/FXs!$C$5</f>
        <v>0</v>
      </c>
      <c r="F39" s="20">
        <f>+Raw_Financials!F39/FXs!$C$6</f>
        <v>0</v>
      </c>
      <c r="G39" s="20">
        <f>+Raw_Financials!G39/FXs!$C$7</f>
        <v>0</v>
      </c>
      <c r="H39" s="20">
        <f>+Raw_Financials!H39/FXs!$C$8</f>
        <v>0</v>
      </c>
      <c r="I39" s="20">
        <f>+Raw_Financials!I39/FXs!$C$9</f>
        <v>0</v>
      </c>
      <c r="J39" s="20">
        <f>+Raw_Financials!J39/FXs!$C$10</f>
        <v>0</v>
      </c>
      <c r="K39" s="20">
        <f>+Raw_Financials!K39/FXs!$C$11</f>
        <v>0</v>
      </c>
      <c r="L39" s="20">
        <f t="shared" si="0"/>
        <v>0</v>
      </c>
      <c r="M39" s="20">
        <f t="shared" si="1"/>
        <v>0</v>
      </c>
      <c r="N39" s="21">
        <f t="shared" si="2"/>
        <v>0</v>
      </c>
      <c r="O39" s="21">
        <f t="shared" si="3"/>
        <v>0</v>
      </c>
      <c r="P39" s="21">
        <f t="shared" si="4"/>
        <v>0</v>
      </c>
    </row>
    <row r="40" spans="1:16" ht="16">
      <c r="A40" s="6" t="s">
        <v>38</v>
      </c>
      <c r="B40" s="20">
        <f>+Raw_Financials!B40/FXs!$C$2</f>
        <v>0</v>
      </c>
      <c r="C40" s="20">
        <f>+Raw_Financials!C40/FXs!$C$3</f>
        <v>0</v>
      </c>
      <c r="D40" s="20">
        <f>+Raw_Financials!D40/FXs!$C$4</f>
        <v>0</v>
      </c>
      <c r="E40" s="20">
        <f>+Raw_Financials!E40/FXs!$C$5</f>
        <v>0</v>
      </c>
      <c r="F40" s="20">
        <f>+Raw_Financials!F40/FXs!$C$6</f>
        <v>0</v>
      </c>
      <c r="G40" s="20">
        <f>+Raw_Financials!G40/FXs!$C$7</f>
        <v>0</v>
      </c>
      <c r="H40" s="20">
        <f>+Raw_Financials!H40/FXs!$C$8</f>
        <v>0</v>
      </c>
      <c r="I40" s="20">
        <f>+Raw_Financials!I40/FXs!$C$9</f>
        <v>0</v>
      </c>
      <c r="J40" s="20">
        <f>+Raw_Financials!J40/FXs!$C$10</f>
        <v>0</v>
      </c>
      <c r="K40" s="20">
        <f>+Raw_Financials!K40/FXs!$C$11</f>
        <v>0</v>
      </c>
      <c r="L40" s="20">
        <f t="shared" si="0"/>
        <v>0</v>
      </c>
      <c r="M40" s="20">
        <f t="shared" si="1"/>
        <v>0</v>
      </c>
      <c r="N40" s="21">
        <f t="shared" si="2"/>
        <v>0</v>
      </c>
      <c r="O40" s="21">
        <f t="shared" si="3"/>
        <v>0</v>
      </c>
      <c r="P40" s="21">
        <f t="shared" si="4"/>
        <v>0</v>
      </c>
    </row>
    <row r="41" spans="1:16" ht="16">
      <c r="A41" s="5" t="s">
        <v>39</v>
      </c>
      <c r="B41" s="20">
        <f>+Raw_Financials!B41/FXs!$C$2</f>
        <v>0</v>
      </c>
      <c r="C41" s="20">
        <f>+Raw_Financials!C41/FXs!$C$3</f>
        <v>0</v>
      </c>
      <c r="D41" s="20">
        <f>+Raw_Financials!D41/FXs!$C$4</f>
        <v>0</v>
      </c>
      <c r="E41" s="20">
        <f>+Raw_Financials!E41/FXs!$C$5</f>
        <v>0</v>
      </c>
      <c r="F41" s="20">
        <f>+Raw_Financials!F41/FXs!$C$6</f>
        <v>0</v>
      </c>
      <c r="G41" s="20">
        <f>+Raw_Financials!G41/FXs!$C$7</f>
        <v>0</v>
      </c>
      <c r="H41" s="20">
        <f>+Raw_Financials!H41/FXs!$C$8</f>
        <v>0</v>
      </c>
      <c r="I41" s="20">
        <f>+Raw_Financials!I41/FXs!$C$9</f>
        <v>0</v>
      </c>
      <c r="J41" s="20">
        <f>+Raw_Financials!J41/FXs!$C$10</f>
        <v>0</v>
      </c>
      <c r="K41" s="20">
        <f>+Raw_Financials!K41/FXs!$C$11</f>
        <v>0</v>
      </c>
      <c r="L41" s="20">
        <f t="shared" si="0"/>
        <v>0</v>
      </c>
      <c r="M41" s="20">
        <f t="shared" si="1"/>
        <v>0</v>
      </c>
      <c r="N41" s="21">
        <f t="shared" si="2"/>
        <v>0</v>
      </c>
      <c r="O41" s="21">
        <f t="shared" si="3"/>
        <v>0</v>
      </c>
      <c r="P41" s="21">
        <f t="shared" si="4"/>
        <v>0</v>
      </c>
    </row>
    <row r="42" spans="1:16" ht="16">
      <c r="A42" s="6" t="s">
        <v>40</v>
      </c>
      <c r="B42" s="20">
        <f>+Raw_Financials!B42/FXs!$C$2</f>
        <v>0</v>
      </c>
      <c r="C42" s="20">
        <f>+Raw_Financials!C42/FXs!$C$3</f>
        <v>5.7324210098440851E-4</v>
      </c>
      <c r="D42" s="20">
        <f>+Raw_Financials!D42/FXs!$C$4</f>
        <v>0</v>
      </c>
      <c r="E42" s="20">
        <f>+Raw_Financials!E42/FXs!$C$5</f>
        <v>0</v>
      </c>
      <c r="F42" s="20">
        <f>+Raw_Financials!F42/FXs!$C$6</f>
        <v>16.072283415272942</v>
      </c>
      <c r="G42" s="20">
        <f>+Raw_Financials!G42/FXs!$C$7</f>
        <v>0</v>
      </c>
      <c r="H42" s="20">
        <f>+Raw_Financials!H42/FXs!$C$8</f>
        <v>7.1700507206366518E-2</v>
      </c>
      <c r="I42" s="20">
        <f>+Raw_Financials!I42/FXs!$C$9</f>
        <v>0</v>
      </c>
      <c r="J42" s="20">
        <f>+Raw_Financials!J42/FXs!$C$10</f>
        <v>0</v>
      </c>
      <c r="K42" s="20">
        <f>+Raw_Financials!K42/FXs!$C$11</f>
        <v>0</v>
      </c>
      <c r="L42" s="20">
        <f t="shared" si="0"/>
        <v>0</v>
      </c>
      <c r="M42" s="20">
        <f t="shared" si="1"/>
        <v>4.2993157573830636E-4</v>
      </c>
      <c r="N42" s="21">
        <f t="shared" si="2"/>
        <v>4.2993157573830636E-4</v>
      </c>
      <c r="O42" s="21">
        <f t="shared" si="3"/>
        <v>-1.2897947272149191E-3</v>
      </c>
      <c r="P42" s="21">
        <f t="shared" si="4"/>
        <v>1.7197263029532254E-3</v>
      </c>
    </row>
    <row r="43" spans="1:16" ht="16">
      <c r="A43" s="5" t="s">
        <v>41</v>
      </c>
      <c r="B43" s="20">
        <f>+Raw_Financials!B43/FXs!$C$2</f>
        <v>0</v>
      </c>
      <c r="C43" s="20">
        <f>+Raw_Financials!C43/FXs!$C$3</f>
        <v>0</v>
      </c>
      <c r="D43" s="20">
        <f>+Raw_Financials!D43/FXs!$C$4</f>
        <v>0</v>
      </c>
      <c r="E43" s="20">
        <f>+Raw_Financials!E43/FXs!$C$5</f>
        <v>0</v>
      </c>
      <c r="F43" s="20">
        <f>+Raw_Financials!F43/FXs!$C$6</f>
        <v>0</v>
      </c>
      <c r="G43" s="20">
        <f>+Raw_Financials!G43/FXs!$C$7</f>
        <v>0</v>
      </c>
      <c r="H43" s="20">
        <f>+Raw_Financials!H43/FXs!$C$8</f>
        <v>0</v>
      </c>
      <c r="I43" s="20">
        <f>+Raw_Financials!I43/FXs!$C$9</f>
        <v>0</v>
      </c>
      <c r="J43" s="20">
        <f>+Raw_Financials!J43/FXs!$C$10</f>
        <v>0</v>
      </c>
      <c r="K43" s="20">
        <f>+Raw_Financials!K43/FXs!$C$11</f>
        <v>0</v>
      </c>
      <c r="L43" s="20">
        <f t="shared" si="0"/>
        <v>0</v>
      </c>
      <c r="M43" s="20">
        <f t="shared" si="1"/>
        <v>0</v>
      </c>
      <c r="N43" s="21">
        <f t="shared" si="2"/>
        <v>0</v>
      </c>
      <c r="O43" s="21">
        <f t="shared" si="3"/>
        <v>0</v>
      </c>
      <c r="P43" s="21">
        <f t="shared" si="4"/>
        <v>0</v>
      </c>
    </row>
    <row r="44" spans="1:16" ht="16">
      <c r="A44" s="6" t="s">
        <v>42</v>
      </c>
      <c r="B44" s="20">
        <f>+Raw_Financials!B44/FXs!$C$2</f>
        <v>4601.9655600002307</v>
      </c>
      <c r="C44" s="20">
        <f>+Raw_Financials!C44/FXs!$C$3</f>
        <v>2407.6168241345158</v>
      </c>
      <c r="D44" s="20">
        <f>+Raw_Financials!D44/FXs!$C$4</f>
        <v>1559.3712021266699</v>
      </c>
      <c r="E44" s="20">
        <f>+Raw_Financials!E44/FXs!$C$5</f>
        <v>678.46136449708717</v>
      </c>
      <c r="F44" s="20">
        <f>+Raw_Financials!F44/FXs!$C$6</f>
        <v>62736.10542265742</v>
      </c>
      <c r="G44" s="20">
        <f>+Raw_Financials!G44/FXs!$C$7</f>
        <v>53730.856859692176</v>
      </c>
      <c r="H44" s="20">
        <f>+Raw_Financials!H44/FXs!$C$8</f>
        <v>39797.769378258963</v>
      </c>
      <c r="I44" s="20">
        <f>+Raw_Financials!I44/FXs!$C$9</f>
        <v>31233.571593897381</v>
      </c>
      <c r="J44" s="20">
        <f>+Raw_Financials!J44/FXs!$C$10</f>
        <v>24579.787695549752</v>
      </c>
      <c r="K44" s="20">
        <f>+Raw_Financials!K44/FXs!$C$11</f>
        <v>18158.899956386504</v>
      </c>
      <c r="L44" s="20">
        <f t="shared" si="0"/>
        <v>2956.2040081009445</v>
      </c>
      <c r="M44" s="20">
        <f t="shared" si="1"/>
        <v>37656.719932168569</v>
      </c>
      <c r="N44" s="21">
        <f t="shared" si="2"/>
        <v>34700.515924067622</v>
      </c>
      <c r="O44" s="21">
        <f t="shared" si="3"/>
        <v>-101145.34376410193</v>
      </c>
      <c r="P44" s="21">
        <f t="shared" si="4"/>
        <v>141758.26770437145</v>
      </c>
    </row>
    <row r="45" spans="1:16" ht="16">
      <c r="A45" s="5" t="s">
        <v>43</v>
      </c>
      <c r="B45" s="20">
        <f>+Raw_Financials!B45/FXs!$C$2</f>
        <v>0.9639265295902596</v>
      </c>
      <c r="C45" s="20">
        <f>+Raw_Financials!C45/FXs!$C$3</f>
        <v>2.2608668462825072</v>
      </c>
      <c r="D45" s="20">
        <f>+Raw_Financials!D45/FXs!$C$4</f>
        <v>82.86862421381619</v>
      </c>
      <c r="E45" s="20">
        <f>+Raw_Financials!E45/FXs!$C$5</f>
        <v>125.00122948686446</v>
      </c>
      <c r="F45" s="20">
        <f>+Raw_Financials!F45/FXs!$C$6</f>
        <v>153.87193426968233</v>
      </c>
      <c r="G45" s="20">
        <f>+Raw_Financials!G45/FXs!$C$7</f>
        <v>1249.7085218586089</v>
      </c>
      <c r="H45" s="20">
        <f>+Raw_Financials!H45/FXs!$C$8</f>
        <v>421.93331370755305</v>
      </c>
      <c r="I45" s="20">
        <f>+Raw_Financials!I45/FXs!$C$9</f>
        <v>387.92484536477616</v>
      </c>
      <c r="J45" s="20">
        <f>+Raw_Financials!J45/FXs!$C$10</f>
        <v>2195.4485689130452</v>
      </c>
      <c r="K45" s="20">
        <f>+Raw_Financials!K45/FXs!$C$11</f>
        <v>861.88977737655296</v>
      </c>
      <c r="L45" s="20">
        <f t="shared" si="0"/>
        <v>93.401775532078261</v>
      </c>
      <c r="M45" s="20">
        <f t="shared" si="1"/>
        <v>751.90066145930291</v>
      </c>
      <c r="N45" s="21">
        <f t="shared" si="2"/>
        <v>658.49888592722459</v>
      </c>
      <c r="O45" s="21">
        <f t="shared" si="3"/>
        <v>-1882.0948822495955</v>
      </c>
      <c r="P45" s="21">
        <f t="shared" si="4"/>
        <v>2727.3973192409767</v>
      </c>
    </row>
    <row r="46" spans="1:16" ht="16">
      <c r="A46" s="6" t="s">
        <v>44</v>
      </c>
      <c r="B46" s="20">
        <f>+Raw_Financials!B46/FXs!$C$2</f>
        <v>33.02888083414306</v>
      </c>
      <c r="C46" s="20">
        <f>+Raw_Financials!C46/FXs!$C$3</f>
        <v>31.364081692210437</v>
      </c>
      <c r="D46" s="20">
        <f>+Raw_Financials!D46/FXs!$C$4</f>
        <v>17.675992366506513</v>
      </c>
      <c r="E46" s="20">
        <f>+Raw_Financials!E46/FXs!$C$5</f>
        <v>20.770906212588184</v>
      </c>
      <c r="F46" s="20">
        <f>+Raw_Financials!F46/FXs!$C$6</f>
        <v>19.837854420927464</v>
      </c>
      <c r="G46" s="20">
        <f>+Raw_Financials!G46/FXs!$C$7</f>
        <v>84.433816014348139</v>
      </c>
      <c r="H46" s="20">
        <f>+Raw_Financials!H46/FXs!$C$8</f>
        <v>77.273410649469199</v>
      </c>
      <c r="I46" s="20">
        <f>+Raw_Financials!I46/FXs!$C$9</f>
        <v>74.396113491928929</v>
      </c>
      <c r="J46" s="20">
        <f>+Raw_Financials!J46/FXs!$C$10</f>
        <v>91.817600690956397</v>
      </c>
      <c r="K46" s="20">
        <f>+Raw_Financials!K46/FXs!$C$11</f>
        <v>145.52279959957383</v>
      </c>
      <c r="L46" s="20">
        <f t="shared" si="0"/>
        <v>23.419200082493745</v>
      </c>
      <c r="M46" s="20">
        <f t="shared" si="1"/>
        <v>82.6437146731284</v>
      </c>
      <c r="N46" s="21">
        <f t="shared" si="2"/>
        <v>59.224514590634655</v>
      </c>
      <c r="O46" s="21">
        <f t="shared" si="3"/>
        <v>-154.25434368941021</v>
      </c>
      <c r="P46" s="21">
        <f t="shared" si="4"/>
        <v>260.31725844503234</v>
      </c>
    </row>
    <row r="47" spans="1:16" ht="16">
      <c r="A47" s="5" t="s">
        <v>45</v>
      </c>
      <c r="B47" s="20">
        <f>+Raw_Financials!B47/FXs!$C$2</f>
        <v>0</v>
      </c>
      <c r="C47" s="20">
        <f>+Raw_Financials!C47/FXs!$C$3</f>
        <v>0</v>
      </c>
      <c r="D47" s="20">
        <f>+Raw_Financials!D47/FXs!$C$4</f>
        <v>0</v>
      </c>
      <c r="E47" s="20">
        <f>+Raw_Financials!E47/FXs!$C$5</f>
        <v>0</v>
      </c>
      <c r="F47" s="20">
        <f>+Raw_Financials!F47/FXs!$C$6</f>
        <v>0</v>
      </c>
      <c r="G47" s="20">
        <f>+Raw_Financials!G47/FXs!$C$7</f>
        <v>0</v>
      </c>
      <c r="H47" s="20">
        <f>+Raw_Financials!H47/FXs!$C$8</f>
        <v>0</v>
      </c>
      <c r="I47" s="20">
        <f>+Raw_Financials!I47/FXs!$C$9</f>
        <v>0</v>
      </c>
      <c r="J47" s="20">
        <f>+Raw_Financials!J47/FXs!$C$10</f>
        <v>0</v>
      </c>
      <c r="K47" s="20">
        <f>+Raw_Financials!K47/FXs!$C$11</f>
        <v>0</v>
      </c>
      <c r="L47" s="20">
        <f t="shared" si="0"/>
        <v>0</v>
      </c>
      <c r="M47" s="20">
        <f t="shared" si="1"/>
        <v>0</v>
      </c>
      <c r="N47" s="21">
        <f t="shared" si="2"/>
        <v>0</v>
      </c>
      <c r="O47" s="21">
        <f t="shared" si="3"/>
        <v>0</v>
      </c>
      <c r="P47" s="21">
        <f t="shared" si="4"/>
        <v>0</v>
      </c>
    </row>
    <row r="48" spans="1:16" ht="16">
      <c r="A48" s="6" t="s">
        <v>46</v>
      </c>
      <c r="B48" s="20">
        <f>+Raw_Financials!B48/FXs!$C$2</f>
        <v>0</v>
      </c>
      <c r="C48" s="20">
        <f>+Raw_Financials!C48/FXs!$C$3</f>
        <v>0</v>
      </c>
      <c r="D48" s="20">
        <f>+Raw_Financials!D48/FXs!$C$4</f>
        <v>0</v>
      </c>
      <c r="E48" s="20">
        <f>+Raw_Financials!E48/FXs!$C$5</f>
        <v>0</v>
      </c>
      <c r="F48" s="20">
        <f>+Raw_Financials!F48/FXs!$C$6</f>
        <v>0</v>
      </c>
      <c r="G48" s="20">
        <f>+Raw_Financials!G48/FXs!$C$7</f>
        <v>0</v>
      </c>
      <c r="H48" s="20">
        <f>+Raw_Financials!H48/FXs!$C$8</f>
        <v>0</v>
      </c>
      <c r="I48" s="20">
        <f>+Raw_Financials!I48/FXs!$C$9</f>
        <v>0</v>
      </c>
      <c r="J48" s="20">
        <f>+Raw_Financials!J48/FXs!$C$10</f>
        <v>0</v>
      </c>
      <c r="K48" s="20">
        <f>+Raw_Financials!K48/FXs!$C$11</f>
        <v>0</v>
      </c>
      <c r="L48" s="20">
        <f t="shared" si="0"/>
        <v>0</v>
      </c>
      <c r="M48" s="20">
        <f t="shared" si="1"/>
        <v>0</v>
      </c>
      <c r="N48" s="21">
        <f t="shared" si="2"/>
        <v>0</v>
      </c>
      <c r="O48" s="21">
        <f t="shared" si="3"/>
        <v>0</v>
      </c>
      <c r="P48" s="21">
        <f t="shared" si="4"/>
        <v>0</v>
      </c>
    </row>
    <row r="49" spans="1:16" ht="16">
      <c r="A49" s="5" t="s">
        <v>47</v>
      </c>
      <c r="B49" s="20">
        <f>+Raw_Financials!B49/FXs!$C$2</f>
        <v>0</v>
      </c>
      <c r="C49" s="20">
        <f>+Raw_Financials!C49/FXs!$C$3</f>
        <v>0</v>
      </c>
      <c r="D49" s="20">
        <f>+Raw_Financials!D49/FXs!$C$4</f>
        <v>0</v>
      </c>
      <c r="E49" s="20">
        <f>+Raw_Financials!E49/FXs!$C$5</f>
        <v>0</v>
      </c>
      <c r="F49" s="20">
        <f>+Raw_Financials!F49/FXs!$C$6</f>
        <v>0</v>
      </c>
      <c r="G49" s="20">
        <f>+Raw_Financials!G49/FXs!$C$7</f>
        <v>0</v>
      </c>
      <c r="H49" s="20">
        <f>+Raw_Financials!H49/FXs!$C$8</f>
        <v>0</v>
      </c>
      <c r="I49" s="20">
        <f>+Raw_Financials!I49/FXs!$C$9</f>
        <v>0</v>
      </c>
      <c r="J49" s="20">
        <f>+Raw_Financials!J49/FXs!$C$10</f>
        <v>0</v>
      </c>
      <c r="K49" s="20">
        <f>+Raw_Financials!K49/FXs!$C$11</f>
        <v>0</v>
      </c>
      <c r="L49" s="20">
        <f t="shared" si="0"/>
        <v>0</v>
      </c>
      <c r="M49" s="20">
        <f t="shared" si="1"/>
        <v>0</v>
      </c>
      <c r="N49" s="21">
        <f t="shared" si="2"/>
        <v>0</v>
      </c>
      <c r="O49" s="21">
        <f t="shared" si="3"/>
        <v>0</v>
      </c>
      <c r="P49" s="21">
        <f t="shared" si="4"/>
        <v>0</v>
      </c>
    </row>
    <row r="50" spans="1:16" ht="16">
      <c r="A50" s="6" t="s">
        <v>48</v>
      </c>
      <c r="B50" s="20">
        <f>+Raw_Financials!B50/FXs!$C$2</f>
        <v>0</v>
      </c>
      <c r="C50" s="20">
        <f>+Raw_Financials!C50/FXs!$C$3</f>
        <v>0</v>
      </c>
      <c r="D50" s="20">
        <f>+Raw_Financials!D50/FXs!$C$4</f>
        <v>0</v>
      </c>
      <c r="E50" s="20">
        <f>+Raw_Financials!E50/FXs!$C$5</f>
        <v>0</v>
      </c>
      <c r="F50" s="20">
        <f>+Raw_Financials!F50/FXs!$C$6</f>
        <v>0</v>
      </c>
      <c r="G50" s="20">
        <f>+Raw_Financials!G50/FXs!$C$7</f>
        <v>0</v>
      </c>
      <c r="H50" s="20">
        <f>+Raw_Financials!H50/FXs!$C$8</f>
        <v>0</v>
      </c>
      <c r="I50" s="20">
        <f>+Raw_Financials!I50/FXs!$C$9</f>
        <v>0</v>
      </c>
      <c r="J50" s="20">
        <f>+Raw_Financials!J50/FXs!$C$10</f>
        <v>0</v>
      </c>
      <c r="K50" s="20">
        <f>+Raw_Financials!K50/FXs!$C$11</f>
        <v>0</v>
      </c>
      <c r="L50" s="20">
        <f t="shared" si="0"/>
        <v>0</v>
      </c>
      <c r="M50" s="20">
        <f t="shared" si="1"/>
        <v>0</v>
      </c>
      <c r="N50" s="21">
        <f t="shared" si="2"/>
        <v>0</v>
      </c>
      <c r="O50" s="21">
        <f t="shared" si="3"/>
        <v>0</v>
      </c>
      <c r="P50" s="21">
        <f t="shared" si="4"/>
        <v>0</v>
      </c>
    </row>
    <row r="51" spans="1:16" ht="16">
      <c r="A51" s="5" t="s">
        <v>49</v>
      </c>
      <c r="B51" s="20">
        <f>+Raw_Financials!B51/FXs!$C$2</f>
        <v>2807.0448936157486</v>
      </c>
      <c r="C51" s="20">
        <f>+Raw_Financials!C51/FXs!$C$3</f>
        <v>2661.4455602399071</v>
      </c>
      <c r="D51" s="20">
        <f>+Raw_Financials!D51/FXs!$C$4</f>
        <v>2982.4258122962315</v>
      </c>
      <c r="E51" s="20">
        <f>+Raw_Financials!E51/FXs!$C$5</f>
        <v>3424.4994373078425</v>
      </c>
      <c r="F51" s="20">
        <f>+Raw_Financials!F51/FXs!$C$6</f>
        <v>3449.0925952169073</v>
      </c>
      <c r="G51" s="20">
        <f>+Raw_Financials!G51/FXs!$C$7</f>
        <v>2159.9843454806037</v>
      </c>
      <c r="H51" s="20">
        <f>+Raw_Financials!H51/FXs!$C$8</f>
        <v>2229.7784451113353</v>
      </c>
      <c r="I51" s="20">
        <f>+Raw_Financials!I51/FXs!$C$9</f>
        <v>4427.3559516240521</v>
      </c>
      <c r="J51" s="20">
        <f>+Raw_Financials!J51/FXs!$C$10</f>
        <v>5527.1511704030409</v>
      </c>
      <c r="K51" s="20">
        <f>+Raw_Financials!K51/FXs!$C$11</f>
        <v>3493.812238070796</v>
      </c>
      <c r="L51" s="20">
        <f t="shared" si="0"/>
        <v>2697.8453935838675</v>
      </c>
      <c r="M51" s="20">
        <f t="shared" si="1"/>
        <v>3482.6323273573239</v>
      </c>
      <c r="N51" s="21">
        <f t="shared" si="2"/>
        <v>784.78693377345644</v>
      </c>
      <c r="O51" s="21">
        <f t="shared" si="3"/>
        <v>343.48459226349814</v>
      </c>
      <c r="P51" s="21">
        <f t="shared" si="4"/>
        <v>5836.9931286776937</v>
      </c>
    </row>
    <row r="52" spans="1:16" ht="16">
      <c r="A52" s="6" t="s">
        <v>50</v>
      </c>
      <c r="B52" s="20">
        <f>+Raw_Financials!B52/FXs!$C$2</f>
        <v>1244.9224250481379</v>
      </c>
      <c r="C52" s="20">
        <f>+Raw_Financials!C52/FXs!$C$3</f>
        <v>1077.9330453225966</v>
      </c>
      <c r="D52" s="20">
        <f>+Raw_Financials!D52/FXs!$C$4</f>
        <v>1079.2423683630702</v>
      </c>
      <c r="E52" s="20">
        <f>+Raw_Financials!E52/FXs!$C$5</f>
        <v>651.97008667433795</v>
      </c>
      <c r="F52" s="20">
        <f>+Raw_Financials!F52/FXs!$C$6</f>
        <v>278.25414746651296</v>
      </c>
      <c r="G52" s="20">
        <f>+Raw_Financials!G52/FXs!$C$7</f>
        <v>0</v>
      </c>
      <c r="H52" s="20">
        <f>+Raw_Financials!H52/FXs!$C$8</f>
        <v>0</v>
      </c>
      <c r="I52" s="20">
        <f>+Raw_Financials!I52/FXs!$C$9</f>
        <v>3277.655485809883</v>
      </c>
      <c r="J52" s="20">
        <f>+Raw_Financials!J52/FXs!$C$10</f>
        <v>11237.766950769628</v>
      </c>
      <c r="K52" s="20">
        <f>+Raw_Financials!K52/FXs!$C$11</f>
        <v>9688.3844970874397</v>
      </c>
      <c r="L52" s="20">
        <f t="shared" si="0"/>
        <v>371.68313226846919</v>
      </c>
      <c r="M52" s="20">
        <f t="shared" si="1"/>
        <v>2769.4722206194465</v>
      </c>
      <c r="N52" s="21">
        <f t="shared" si="2"/>
        <v>2397.7890883509772</v>
      </c>
      <c r="O52" s="21">
        <f t="shared" si="3"/>
        <v>-6821.6841327844622</v>
      </c>
      <c r="P52" s="21">
        <f t="shared" si="4"/>
        <v>9962.8394856723789</v>
      </c>
    </row>
    <row r="53" spans="1:16" ht="16">
      <c r="A53" s="5" t="s">
        <v>51</v>
      </c>
      <c r="B53" s="20">
        <f>+Raw_Financials!B53/FXs!$C$2</f>
        <v>2229.8962835561933</v>
      </c>
      <c r="C53" s="20">
        <f>+Raw_Financials!C53/FXs!$C$3</f>
        <v>1541.8022731654828</v>
      </c>
      <c r="D53" s="20">
        <f>+Raw_Financials!D53/FXs!$C$4</f>
        <v>1624.4905435274798</v>
      </c>
      <c r="E53" s="20">
        <f>+Raw_Financials!E53/FXs!$C$5</f>
        <v>1748.5112170484088</v>
      </c>
      <c r="F53" s="20">
        <f>+Raw_Financials!F53/FXs!$C$6</f>
        <v>2114.5743678549252</v>
      </c>
      <c r="G53" s="20">
        <f>+Raw_Financials!G53/FXs!$C$7</f>
        <v>1791.2198136661711</v>
      </c>
      <c r="H53" s="20">
        <f>+Raw_Financials!H53/FXs!$C$8</f>
        <v>1276.2111504412183</v>
      </c>
      <c r="I53" s="20">
        <f>+Raw_Financials!I53/FXs!$C$9</f>
        <v>5167.5585889531412</v>
      </c>
      <c r="J53" s="20">
        <f>+Raw_Financials!J53/FXs!$C$10</f>
        <v>15146.03529634903</v>
      </c>
      <c r="K53" s="20">
        <f>+Raw_Financials!K53/FXs!$C$11</f>
        <v>6601.7369444164297</v>
      </c>
      <c r="L53" s="20">
        <f t="shared" si="0"/>
        <v>1655.4957119077121</v>
      </c>
      <c r="M53" s="20">
        <f t="shared" si="1"/>
        <v>4433.143012603904</v>
      </c>
      <c r="N53" s="21">
        <f t="shared" si="2"/>
        <v>2777.6473006961919</v>
      </c>
      <c r="O53" s="21">
        <f t="shared" si="3"/>
        <v>-6677.4461901808645</v>
      </c>
      <c r="P53" s="21">
        <f t="shared" si="4"/>
        <v>12766.084914692481</v>
      </c>
    </row>
    <row r="54" spans="1:16" ht="16">
      <c r="A54" s="6" t="s">
        <v>52</v>
      </c>
      <c r="B54" s="20">
        <f>+Raw_Financials!B54/FXs!$C$2</f>
        <v>0</v>
      </c>
      <c r="C54" s="20">
        <f>+Raw_Financials!C54/FXs!$C$3</f>
        <v>0</v>
      </c>
      <c r="D54" s="20">
        <f>+Raw_Financials!D54/FXs!$C$4</f>
        <v>0</v>
      </c>
      <c r="E54" s="20">
        <f>+Raw_Financials!E54/FXs!$C$5</f>
        <v>0</v>
      </c>
      <c r="F54" s="20">
        <f>+Raw_Financials!F54/FXs!$C$6</f>
        <v>0</v>
      </c>
      <c r="G54" s="20">
        <f>+Raw_Financials!G54/FXs!$C$7</f>
        <v>0</v>
      </c>
      <c r="H54" s="20">
        <f>+Raw_Financials!H54/FXs!$C$8</f>
        <v>0</v>
      </c>
      <c r="I54" s="20">
        <f>+Raw_Financials!I54/FXs!$C$9</f>
        <v>0</v>
      </c>
      <c r="J54" s="20">
        <f>+Raw_Financials!J54/FXs!$C$10</f>
        <v>0</v>
      </c>
      <c r="K54" s="20">
        <f>+Raw_Financials!K54/FXs!$C$11</f>
        <v>0</v>
      </c>
      <c r="L54" s="20">
        <f t="shared" si="0"/>
        <v>0</v>
      </c>
      <c r="M54" s="20">
        <f t="shared" si="1"/>
        <v>0</v>
      </c>
      <c r="N54" s="21">
        <f t="shared" si="2"/>
        <v>0</v>
      </c>
      <c r="O54" s="21">
        <f t="shared" si="3"/>
        <v>0</v>
      </c>
      <c r="P54" s="21">
        <f t="shared" si="4"/>
        <v>0</v>
      </c>
    </row>
    <row r="55" spans="1:16" ht="16">
      <c r="A55" s="5" t="s">
        <v>53</v>
      </c>
      <c r="B55" s="20">
        <f>+Raw_Financials!B55/FXs!$C$2</f>
        <v>1482.8981286626386</v>
      </c>
      <c r="C55" s="20">
        <f>+Raw_Financials!C55/FXs!$C$3</f>
        <v>1507.4375556956695</v>
      </c>
      <c r="D55" s="20">
        <f>+Raw_Financials!D55/FXs!$C$4</f>
        <v>2374.8407337460067</v>
      </c>
      <c r="E55" s="20">
        <f>+Raw_Financials!E55/FXs!$C$5</f>
        <v>2616.9788905182377</v>
      </c>
      <c r="F55" s="20">
        <f>+Raw_Financials!F55/FXs!$C$6</f>
        <v>3309.5874569213051</v>
      </c>
      <c r="G55" s="20">
        <f>+Raw_Financials!G55/FXs!$C$7</f>
        <v>2737.805782599271</v>
      </c>
      <c r="H55" s="20">
        <f>+Raw_Financials!H55/FXs!$C$8</f>
        <v>4261.8859097415361</v>
      </c>
      <c r="I55" s="20">
        <f>+Raw_Financials!I55/FXs!$C$9</f>
        <v>19905.017725034966</v>
      </c>
      <c r="J55" s="20">
        <f>+Raw_Financials!J55/FXs!$C$10</f>
        <v>18157.892598500483</v>
      </c>
      <c r="K55" s="20">
        <f>+Raw_Financials!K55/FXs!$C$11</f>
        <v>7347.2381522158821</v>
      </c>
      <c r="L55" s="20">
        <f t="shared" si="0"/>
        <v>2435.3752729390644</v>
      </c>
      <c r="M55" s="20">
        <f t="shared" si="1"/>
        <v>6575.9000915972956</v>
      </c>
      <c r="N55" s="21">
        <f t="shared" si="2"/>
        <v>4140.5248186582312</v>
      </c>
      <c r="O55" s="21">
        <f t="shared" si="3"/>
        <v>-9986.1991830356274</v>
      </c>
      <c r="P55" s="21">
        <f t="shared" si="4"/>
        <v>18997.47454757199</v>
      </c>
    </row>
    <row r="56" spans="1:16" ht="16">
      <c r="A56" s="7" t="s">
        <v>54</v>
      </c>
      <c r="B56" s="20">
        <f>+Raw_Financials!B56/FXs!$C$2</f>
        <v>7764.7617308827184</v>
      </c>
      <c r="C56" s="20">
        <f>+Raw_Financials!C56/FXs!$C$3</f>
        <v>6788.6184344236553</v>
      </c>
      <c r="D56" s="20">
        <f>+Raw_Financials!D56/FXs!$C$4</f>
        <v>8060.9994579327877</v>
      </c>
      <c r="E56" s="20">
        <f>+Raw_Financials!E56/FXs!$C$5</f>
        <v>8441.959631548827</v>
      </c>
      <c r="F56" s="20">
        <f>+Raw_Financials!F56/FXs!$C$6</f>
        <v>9151.5085674596503</v>
      </c>
      <c r="G56" s="20">
        <f>+Raw_Financials!G56/FXs!$C$7</f>
        <v>6689.009941746046</v>
      </c>
      <c r="H56" s="20">
        <f>+Raw_Financials!H56/FXs!$C$8</f>
        <v>7767.8755052940896</v>
      </c>
      <c r="I56" s="20">
        <f>+Raw_Financials!I56/FXs!$C$9</f>
        <v>32777.587751422041</v>
      </c>
      <c r="J56" s="20">
        <f>+Raw_Financials!J56/FXs!$C$10</f>
        <v>50068.846016022188</v>
      </c>
      <c r="K56" s="20">
        <f>+Raw_Financials!K56/FXs!$C$11</f>
        <v>27131.171831790547</v>
      </c>
      <c r="L56" s="20">
        <f t="shared" si="0"/>
        <v>7765.5401744855608</v>
      </c>
      <c r="M56" s="20">
        <f t="shared" si="1"/>
        <v>22636.256015707826</v>
      </c>
      <c r="N56" s="21">
        <f t="shared" si="2"/>
        <v>14870.715841222265</v>
      </c>
      <c r="O56" s="21">
        <f t="shared" si="3"/>
        <v>-36846.607349181235</v>
      </c>
      <c r="P56" s="21">
        <f t="shared" si="4"/>
        <v>67248.403539374616</v>
      </c>
    </row>
    <row r="57" spans="1:16" ht="16">
      <c r="A57" s="5" t="s">
        <v>55</v>
      </c>
      <c r="B57" s="20">
        <f>+Raw_Financials!B57/FXs!$C$2</f>
        <v>0</v>
      </c>
      <c r="C57" s="20">
        <f>+Raw_Financials!C57/FXs!$C$3</f>
        <v>0</v>
      </c>
      <c r="D57" s="20">
        <f>+Raw_Financials!D57/FXs!$C$4</f>
        <v>0</v>
      </c>
      <c r="E57" s="20">
        <f>+Raw_Financials!E57/FXs!$C$5</f>
        <v>0</v>
      </c>
      <c r="F57" s="20">
        <f>+Raw_Financials!F57/FXs!$C$6</f>
        <v>0</v>
      </c>
      <c r="G57" s="20">
        <f>+Raw_Financials!G57/FXs!$C$7</f>
        <v>0</v>
      </c>
      <c r="H57" s="20">
        <f>+Raw_Financials!H57/FXs!$C$8</f>
        <v>0</v>
      </c>
      <c r="I57" s="20">
        <f>+Raw_Financials!I57/FXs!$C$9</f>
        <v>0</v>
      </c>
      <c r="J57" s="20">
        <f>+Raw_Financials!J57/FXs!$C$10</f>
        <v>0</v>
      </c>
      <c r="K57" s="20">
        <f>+Raw_Financials!K57/FXs!$C$11</f>
        <v>0</v>
      </c>
      <c r="L57" s="20">
        <f t="shared" si="0"/>
        <v>0</v>
      </c>
      <c r="M57" s="20">
        <f t="shared" si="1"/>
        <v>0</v>
      </c>
      <c r="N57" s="21">
        <f t="shared" si="2"/>
        <v>0</v>
      </c>
      <c r="O57" s="21">
        <f t="shared" si="3"/>
        <v>0</v>
      </c>
      <c r="P57" s="21">
        <f t="shared" si="4"/>
        <v>0</v>
      </c>
    </row>
    <row r="58" spans="1:16" ht="16">
      <c r="A58" s="6" t="s">
        <v>56</v>
      </c>
      <c r="B58" s="20">
        <f>+Raw_Financials!B58/FXs!$C$2</f>
        <v>0</v>
      </c>
      <c r="C58" s="20">
        <f>+Raw_Financials!C58/FXs!$C$3</f>
        <v>0</v>
      </c>
      <c r="D58" s="20">
        <f>+Raw_Financials!D58/FXs!$C$4</f>
        <v>0</v>
      </c>
      <c r="E58" s="20">
        <f>+Raw_Financials!E58/FXs!$C$5</f>
        <v>0</v>
      </c>
      <c r="F58" s="20">
        <f>+Raw_Financials!F58/FXs!$C$6</f>
        <v>0</v>
      </c>
      <c r="G58" s="20">
        <f>+Raw_Financials!G58/FXs!$C$7</f>
        <v>0</v>
      </c>
      <c r="H58" s="20">
        <f>+Raw_Financials!H58/FXs!$C$8</f>
        <v>0</v>
      </c>
      <c r="I58" s="20">
        <f>+Raw_Financials!I58/FXs!$C$9</f>
        <v>4164.2039221654923</v>
      </c>
      <c r="J58" s="20">
        <f>+Raw_Financials!J58/FXs!$C$10</f>
        <v>1368.3391952205284</v>
      </c>
      <c r="K58" s="20">
        <f>+Raw_Financials!K58/FXs!$C$11</f>
        <v>0</v>
      </c>
      <c r="L58" s="20">
        <f t="shared" si="0"/>
        <v>0</v>
      </c>
      <c r="M58" s="20">
        <f t="shared" si="1"/>
        <v>0</v>
      </c>
      <c r="N58" s="21">
        <f t="shared" si="2"/>
        <v>0</v>
      </c>
      <c r="O58" s="21">
        <f t="shared" si="3"/>
        <v>0</v>
      </c>
      <c r="P58" s="21">
        <f t="shared" si="4"/>
        <v>0</v>
      </c>
    </row>
    <row r="59" spans="1:16" ht="16">
      <c r="A59" s="5" t="s">
        <v>57</v>
      </c>
      <c r="B59" s="20">
        <f>+Raw_Financials!B59/FXs!$C$2</f>
        <v>0</v>
      </c>
      <c r="C59" s="20">
        <f>+Raw_Financials!C59/FXs!$C$3</f>
        <v>0</v>
      </c>
      <c r="D59" s="20">
        <f>+Raw_Financials!D59/FXs!$C$4</f>
        <v>304.5937961778049</v>
      </c>
      <c r="E59" s="20">
        <f>+Raw_Financials!E59/FXs!$C$5</f>
        <v>0</v>
      </c>
      <c r="F59" s="20">
        <f>+Raw_Financials!F59/FXs!$C$6</f>
        <v>0</v>
      </c>
      <c r="G59" s="20">
        <f>+Raw_Financials!G59/FXs!$C$7</f>
        <v>0</v>
      </c>
      <c r="H59" s="20">
        <f>+Raw_Financials!H59/FXs!$C$8</f>
        <v>0</v>
      </c>
      <c r="I59" s="20">
        <f>+Raw_Financials!I59/FXs!$C$9</f>
        <v>0</v>
      </c>
      <c r="J59" s="20">
        <f>+Raw_Financials!J59/FXs!$C$10</f>
        <v>0</v>
      </c>
      <c r="K59" s="20">
        <f>+Raw_Financials!K59/FXs!$C$11</f>
        <v>0</v>
      </c>
      <c r="L59" s="20">
        <f t="shared" si="0"/>
        <v>0</v>
      </c>
      <c r="M59" s="20">
        <f t="shared" si="1"/>
        <v>0</v>
      </c>
      <c r="N59" s="21">
        <f t="shared" si="2"/>
        <v>0</v>
      </c>
      <c r="O59" s="21">
        <f t="shared" si="3"/>
        <v>0</v>
      </c>
      <c r="P59" s="21">
        <f t="shared" si="4"/>
        <v>0</v>
      </c>
    </row>
    <row r="60" spans="1:16" ht="16">
      <c r="A60" s="6" t="s">
        <v>58</v>
      </c>
      <c r="B60" s="20">
        <f>+Raw_Financials!B60/FXs!$C$2</f>
        <v>0</v>
      </c>
      <c r="C60" s="20">
        <f>+Raw_Financials!C60/FXs!$C$3</f>
        <v>0</v>
      </c>
      <c r="D60" s="20">
        <f>+Raw_Financials!D60/FXs!$C$4</f>
        <v>0</v>
      </c>
      <c r="E60" s="20">
        <f>+Raw_Financials!E60/FXs!$C$5</f>
        <v>0</v>
      </c>
      <c r="F60" s="20">
        <f>+Raw_Financials!F60/FXs!$C$6</f>
        <v>0</v>
      </c>
      <c r="G60" s="20">
        <f>+Raw_Financials!G60/FXs!$C$7</f>
        <v>0</v>
      </c>
      <c r="H60" s="20">
        <f>+Raw_Financials!H60/FXs!$C$8</f>
        <v>0</v>
      </c>
      <c r="I60" s="20">
        <f>+Raw_Financials!I60/FXs!$C$9</f>
        <v>0</v>
      </c>
      <c r="J60" s="20">
        <f>+Raw_Financials!J60/FXs!$C$10</f>
        <v>0</v>
      </c>
      <c r="K60" s="20">
        <f>+Raw_Financials!K60/FXs!$C$11</f>
        <v>0</v>
      </c>
      <c r="L60" s="20">
        <f t="shared" si="0"/>
        <v>0</v>
      </c>
      <c r="M60" s="20">
        <f t="shared" si="1"/>
        <v>0</v>
      </c>
      <c r="N60" s="21">
        <f t="shared" si="2"/>
        <v>0</v>
      </c>
      <c r="O60" s="21">
        <f t="shared" si="3"/>
        <v>0</v>
      </c>
      <c r="P60" s="21">
        <f t="shared" si="4"/>
        <v>0</v>
      </c>
    </row>
    <row r="61" spans="1:16" ht="16">
      <c r="A61" s="5" t="s">
        <v>59</v>
      </c>
      <c r="B61" s="20">
        <f>+Raw_Financials!B61/FXs!$C$2</f>
        <v>0</v>
      </c>
      <c r="C61" s="20">
        <f>+Raw_Financials!C61/FXs!$C$3</f>
        <v>0</v>
      </c>
      <c r="D61" s="20">
        <f>+Raw_Financials!D61/FXs!$C$4</f>
        <v>0</v>
      </c>
      <c r="E61" s="20">
        <f>+Raw_Financials!E61/FXs!$C$5</f>
        <v>0</v>
      </c>
      <c r="F61" s="20">
        <f>+Raw_Financials!F61/FXs!$C$6</f>
        <v>0</v>
      </c>
      <c r="G61" s="20">
        <f>+Raw_Financials!G61/FXs!$C$7</f>
        <v>0</v>
      </c>
      <c r="H61" s="20">
        <f>+Raw_Financials!H61/FXs!$C$8</f>
        <v>0</v>
      </c>
      <c r="I61" s="20">
        <f>+Raw_Financials!I61/FXs!$C$9</f>
        <v>0</v>
      </c>
      <c r="J61" s="20">
        <f>+Raw_Financials!J61/FXs!$C$10</f>
        <v>0</v>
      </c>
      <c r="K61" s="20">
        <f>+Raw_Financials!K61/FXs!$C$11</f>
        <v>0</v>
      </c>
      <c r="L61" s="20">
        <f t="shared" si="0"/>
        <v>0</v>
      </c>
      <c r="M61" s="20">
        <f t="shared" si="1"/>
        <v>0</v>
      </c>
      <c r="N61" s="21">
        <f t="shared" si="2"/>
        <v>0</v>
      </c>
      <c r="O61" s="21">
        <f t="shared" si="3"/>
        <v>0</v>
      </c>
      <c r="P61" s="21">
        <f t="shared" si="4"/>
        <v>0</v>
      </c>
    </row>
    <row r="62" spans="1:16" ht="16">
      <c r="A62" s="6" t="s">
        <v>60</v>
      </c>
      <c r="B62" s="20">
        <f>+Raw_Financials!B62/FXs!$C$2</f>
        <v>0</v>
      </c>
      <c r="C62" s="20">
        <f>+Raw_Financials!C62/FXs!$C$3</f>
        <v>0</v>
      </c>
      <c r="D62" s="20">
        <f>+Raw_Financials!D62/FXs!$C$4</f>
        <v>0</v>
      </c>
      <c r="E62" s="20">
        <f>+Raw_Financials!E62/FXs!$C$5</f>
        <v>0</v>
      </c>
      <c r="F62" s="20">
        <f>+Raw_Financials!F62/FXs!$C$6</f>
        <v>0</v>
      </c>
      <c r="G62" s="20">
        <f>+Raw_Financials!G62/FXs!$C$7</f>
        <v>0</v>
      </c>
      <c r="H62" s="20">
        <f>+Raw_Financials!H62/FXs!$C$8</f>
        <v>0</v>
      </c>
      <c r="I62" s="20">
        <f>+Raw_Financials!I62/FXs!$C$9</f>
        <v>0</v>
      </c>
      <c r="J62" s="20">
        <f>+Raw_Financials!J62/FXs!$C$10</f>
        <v>0</v>
      </c>
      <c r="K62" s="20">
        <f>+Raw_Financials!K62/FXs!$C$11</f>
        <v>0</v>
      </c>
      <c r="L62" s="20">
        <f t="shared" si="0"/>
        <v>0</v>
      </c>
      <c r="M62" s="20">
        <f t="shared" si="1"/>
        <v>0</v>
      </c>
      <c r="N62" s="21">
        <f t="shared" si="2"/>
        <v>0</v>
      </c>
      <c r="O62" s="21">
        <f t="shared" si="3"/>
        <v>0</v>
      </c>
      <c r="P62" s="21">
        <f t="shared" si="4"/>
        <v>0</v>
      </c>
    </row>
    <row r="63" spans="1:16" ht="16">
      <c r="A63" s="5" t="s">
        <v>61</v>
      </c>
      <c r="B63" s="20">
        <f>+Raw_Financials!B63/FXs!$C$2</f>
        <v>0</v>
      </c>
      <c r="C63" s="20">
        <f>+Raw_Financials!C63/FXs!$C$3</f>
        <v>0</v>
      </c>
      <c r="D63" s="20">
        <f>+Raw_Financials!D63/FXs!$C$4</f>
        <v>0</v>
      </c>
      <c r="E63" s="20">
        <f>+Raw_Financials!E63/FXs!$C$5</f>
        <v>0</v>
      </c>
      <c r="F63" s="20">
        <f>+Raw_Financials!F63/FXs!$C$6</f>
        <v>0</v>
      </c>
      <c r="G63" s="20">
        <f>+Raw_Financials!G63/FXs!$C$7</f>
        <v>0</v>
      </c>
      <c r="H63" s="20">
        <f>+Raw_Financials!H63/FXs!$C$8</f>
        <v>0</v>
      </c>
      <c r="I63" s="20">
        <f>+Raw_Financials!I63/FXs!$C$9</f>
        <v>0</v>
      </c>
      <c r="J63" s="20">
        <f>+Raw_Financials!J63/FXs!$C$10</f>
        <v>0</v>
      </c>
      <c r="K63" s="20">
        <f>+Raw_Financials!K63/FXs!$C$11</f>
        <v>0</v>
      </c>
      <c r="L63" s="20">
        <f t="shared" si="0"/>
        <v>0</v>
      </c>
      <c r="M63" s="20">
        <f t="shared" si="1"/>
        <v>0</v>
      </c>
      <c r="N63" s="21">
        <f t="shared" si="2"/>
        <v>0</v>
      </c>
      <c r="O63" s="21">
        <f t="shared" si="3"/>
        <v>0</v>
      </c>
      <c r="P63" s="21">
        <f t="shared" si="4"/>
        <v>0</v>
      </c>
    </row>
    <row r="64" spans="1:16" ht="16">
      <c r="A64" s="6" t="s">
        <v>62</v>
      </c>
      <c r="B64" s="20">
        <f>+Raw_Financials!B64/FXs!$C$2</f>
        <v>20770.084177392495</v>
      </c>
      <c r="C64" s="20">
        <f>+Raw_Financials!C64/FXs!$C$3</f>
        <v>0</v>
      </c>
      <c r="D64" s="20">
        <f>+Raw_Financials!D64/FXs!$C$4</f>
        <v>0</v>
      </c>
      <c r="E64" s="20">
        <f>+Raw_Financials!E64/FXs!$C$5</f>
        <v>0</v>
      </c>
      <c r="F64" s="20">
        <f>+Raw_Financials!F64/FXs!$C$6</f>
        <v>0</v>
      </c>
      <c r="G64" s="20">
        <f>+Raw_Financials!G64/FXs!$C$7</f>
        <v>0</v>
      </c>
      <c r="H64" s="20">
        <f>+Raw_Financials!H64/FXs!$C$8</f>
        <v>0</v>
      </c>
      <c r="I64" s="20">
        <f>+Raw_Financials!I64/FXs!$C$9</f>
        <v>0</v>
      </c>
      <c r="J64" s="20">
        <f>+Raw_Financials!J64/FXs!$C$10</f>
        <v>0</v>
      </c>
      <c r="K64" s="20">
        <f>+Raw_Financials!K64/FXs!$C$11</f>
        <v>0</v>
      </c>
      <c r="L64" s="20">
        <f t="shared" si="0"/>
        <v>0</v>
      </c>
      <c r="M64" s="20">
        <f t="shared" si="1"/>
        <v>0</v>
      </c>
      <c r="N64" s="21">
        <f t="shared" si="2"/>
        <v>0</v>
      </c>
      <c r="O64" s="21">
        <f t="shared" si="3"/>
        <v>0</v>
      </c>
      <c r="P64" s="21">
        <f t="shared" si="4"/>
        <v>0</v>
      </c>
    </row>
    <row r="65" spans="1:16" ht="16">
      <c r="A65" s="5" t="s">
        <v>63</v>
      </c>
      <c r="B65" s="20">
        <f>+Raw_Financials!B65/FXs!$C$2</f>
        <v>1743.0972749655693</v>
      </c>
      <c r="C65" s="20">
        <f>+Raw_Financials!C65/FXs!$C$3</f>
        <v>1531.2941722123376</v>
      </c>
      <c r="D65" s="20">
        <f>+Raw_Financials!D65/FXs!$C$4</f>
        <v>2315.5835884843923</v>
      </c>
      <c r="E65" s="20">
        <f>+Raw_Financials!E65/FXs!$C$5</f>
        <v>1682.4616839841865</v>
      </c>
      <c r="F65" s="20">
        <f>+Raw_Financials!F65/FXs!$C$6</f>
        <v>2057.5335558189017</v>
      </c>
      <c r="G65" s="20">
        <f>+Raw_Financials!G65/FXs!$C$7</f>
        <v>2985.4008936590767</v>
      </c>
      <c r="H65" s="20">
        <f>+Raw_Financials!H65/FXs!$C$8</f>
        <v>1409.3821286726734</v>
      </c>
      <c r="I65" s="20">
        <f>+Raw_Financials!I65/FXs!$C$9</f>
        <v>2726.1746387251605</v>
      </c>
      <c r="J65" s="20">
        <f>+Raw_Financials!J65/FXs!$C$10</f>
        <v>2512.3294159650422</v>
      </c>
      <c r="K65" s="20">
        <f>+Raw_Financials!K65/FXs!$C$11</f>
        <v>3035.9468310386706</v>
      </c>
      <c r="L65" s="20">
        <f t="shared" si="0"/>
        <v>1697.6205817295322</v>
      </c>
      <c r="M65" s="20">
        <f t="shared" si="1"/>
        <v>2672.7133330351307</v>
      </c>
      <c r="N65" s="21">
        <f t="shared" si="2"/>
        <v>975.09275130559854</v>
      </c>
      <c r="O65" s="21">
        <f t="shared" si="3"/>
        <v>-1227.6576721872634</v>
      </c>
      <c r="P65" s="21">
        <f t="shared" si="4"/>
        <v>5597.9915869519264</v>
      </c>
    </row>
    <row r="66" spans="1:16" ht="16">
      <c r="A66" s="6" t="s">
        <v>64</v>
      </c>
      <c r="B66" s="20">
        <f>+Raw_Financials!B66/FXs!$C$2</f>
        <v>0</v>
      </c>
      <c r="C66" s="20">
        <f>+Raw_Financials!C66/FXs!$C$3</f>
        <v>0</v>
      </c>
      <c r="D66" s="20">
        <f>+Raw_Financials!D66/FXs!$C$4</f>
        <v>0</v>
      </c>
      <c r="E66" s="20">
        <f>+Raw_Financials!E66/FXs!$C$5</f>
        <v>0</v>
      </c>
      <c r="F66" s="20">
        <f>+Raw_Financials!F66/FXs!$C$6</f>
        <v>0</v>
      </c>
      <c r="G66" s="20">
        <f>+Raw_Financials!G66/FXs!$C$7</f>
        <v>0</v>
      </c>
      <c r="H66" s="20">
        <f>+Raw_Financials!H66/FXs!$C$8</f>
        <v>0</v>
      </c>
      <c r="I66" s="20">
        <f>+Raw_Financials!I66/FXs!$C$9</f>
        <v>0</v>
      </c>
      <c r="J66" s="20">
        <f>+Raw_Financials!J66/FXs!$C$10</f>
        <v>0</v>
      </c>
      <c r="K66" s="20">
        <f>+Raw_Financials!K66/FXs!$C$11</f>
        <v>0</v>
      </c>
      <c r="L66" s="20">
        <f t="shared" si="0"/>
        <v>0</v>
      </c>
      <c r="M66" s="20">
        <f t="shared" si="1"/>
        <v>0</v>
      </c>
      <c r="N66" s="21">
        <f t="shared" si="2"/>
        <v>0</v>
      </c>
      <c r="O66" s="21">
        <f t="shared" si="3"/>
        <v>0</v>
      </c>
      <c r="P66" s="21">
        <f t="shared" si="4"/>
        <v>0</v>
      </c>
    </row>
    <row r="67" spans="1:16" ht="16">
      <c r="A67" s="5" t="s">
        <v>65</v>
      </c>
      <c r="B67" s="20">
        <f>+Raw_Financials!B67/FXs!$C$2</f>
        <v>167.79245980410249</v>
      </c>
      <c r="C67" s="20">
        <f>+Raw_Financials!C67/FXs!$C$3</f>
        <v>12053.291373748543</v>
      </c>
      <c r="D67" s="20">
        <f>+Raw_Financials!D67/FXs!$C$4</f>
        <v>2456.1946887321574</v>
      </c>
      <c r="E67" s="20">
        <f>+Raw_Financials!E67/FXs!$C$5</f>
        <v>320.65327931967249</v>
      </c>
      <c r="F67" s="20">
        <f>+Raw_Financials!F67/FXs!$C$6</f>
        <v>1275.1518129252331</v>
      </c>
      <c r="G67" s="20">
        <f>+Raw_Financials!G67/FXs!$C$7</f>
        <v>266.62694097739399</v>
      </c>
      <c r="H67" s="20">
        <f>+Raw_Financials!H67/FXs!$C$8</f>
        <v>279.29505963900817</v>
      </c>
      <c r="I67" s="20">
        <f>+Raw_Financials!I67/FXs!$C$9</f>
        <v>3808.082854873282</v>
      </c>
      <c r="J67" s="20">
        <f>+Raw_Financials!J67/FXs!$C$10</f>
        <v>3982.9537922712871</v>
      </c>
      <c r="K67" s="20">
        <f>+Raw_Financials!K67/FXs!$C$11</f>
        <v>3900.1913648166123</v>
      </c>
      <c r="L67" s="20">
        <f t="shared" si="0"/>
        <v>289.63461455917422</v>
      </c>
      <c r="M67" s="20">
        <f t="shared" si="1"/>
        <v>3877.1642373307795</v>
      </c>
      <c r="N67" s="21">
        <f t="shared" si="2"/>
        <v>3587.5296227716053</v>
      </c>
      <c r="O67" s="21">
        <f t="shared" si="3"/>
        <v>-10472.954253755641</v>
      </c>
      <c r="P67" s="21">
        <f t="shared" si="4"/>
        <v>14639.753105645595</v>
      </c>
    </row>
    <row r="68" spans="1:16" ht="16">
      <c r="A68" s="6" t="s">
        <v>66</v>
      </c>
      <c r="B68" s="20">
        <f>+Raw_Financials!B68/FXs!$C$2</f>
        <v>0</v>
      </c>
      <c r="C68" s="20">
        <f>+Raw_Financials!C68/FXs!$C$3</f>
        <v>0</v>
      </c>
      <c r="D68" s="20">
        <f>+Raw_Financials!D68/FXs!$C$4</f>
        <v>6.2853055253718981</v>
      </c>
      <c r="E68" s="20">
        <f>+Raw_Financials!E68/FXs!$C$5</f>
        <v>0</v>
      </c>
      <c r="F68" s="20">
        <f>+Raw_Financials!F68/FXs!$C$6</f>
        <v>0</v>
      </c>
      <c r="G68" s="20">
        <f>+Raw_Financials!G68/FXs!$C$7</f>
        <v>3.1792245381776016</v>
      </c>
      <c r="H68" s="20">
        <f>+Raw_Financials!H68/FXs!$C$8</f>
        <v>0</v>
      </c>
      <c r="I68" s="20">
        <f>+Raw_Financials!I68/FXs!$C$9</f>
        <v>2.4331747287222387</v>
      </c>
      <c r="J68" s="20">
        <f>+Raw_Financials!J68/FXs!$C$10</f>
        <v>8.2814536080139671</v>
      </c>
      <c r="K68" s="20">
        <f>+Raw_Financials!K68/FXs!$C$11</f>
        <v>7.0197182100787829</v>
      </c>
      <c r="L68" s="20">
        <f t="shared" ref="L68:L131" si="5">QUARTILE(B68:K68, 1)</f>
        <v>0</v>
      </c>
      <c r="M68" s="20">
        <f t="shared" ref="M68:M131" si="6">QUARTILE(B68:K68, 3)</f>
        <v>5.508785278573324</v>
      </c>
      <c r="N68" s="21">
        <f t="shared" ref="N68:N131" si="7">M68 - L68</f>
        <v>5.508785278573324</v>
      </c>
      <c r="O68" s="21">
        <f t="shared" ref="O68:O131" si="8">L68 - (3 * N68)</f>
        <v>-16.526355835719972</v>
      </c>
      <c r="P68" s="21">
        <f t="shared" ref="P68:P131" si="9">M68 + (3 * N68)</f>
        <v>22.035141114293296</v>
      </c>
    </row>
    <row r="69" spans="1:16" ht="16">
      <c r="A69" s="5" t="s">
        <v>67</v>
      </c>
      <c r="B69" s="20">
        <f>+Raw_Financials!B69/FXs!$C$2</f>
        <v>9396.2800537733619</v>
      </c>
      <c r="C69" s="20">
        <f>+Raw_Financials!C69/FXs!$C$3</f>
        <v>11901.785779426767</v>
      </c>
      <c r="D69" s="20">
        <f>+Raw_Financials!D69/FXs!$C$4</f>
        <v>14246.77031947294</v>
      </c>
      <c r="E69" s="20">
        <f>+Raw_Financials!E69/FXs!$C$5</f>
        <v>14153.060821010069</v>
      </c>
      <c r="F69" s="20">
        <f>+Raw_Financials!F69/FXs!$C$6</f>
        <v>9844.9505792359141</v>
      </c>
      <c r="G69" s="20">
        <f>+Raw_Financials!G69/FXs!$C$7</f>
        <v>9587.1744268221646</v>
      </c>
      <c r="H69" s="20">
        <f>+Raw_Financials!H69/FXs!$C$8</f>
        <v>7952.2560206250128</v>
      </c>
      <c r="I69" s="20">
        <f>+Raw_Financials!I69/FXs!$C$9</f>
        <v>24850.825868331831</v>
      </c>
      <c r="J69" s="20">
        <f>+Raw_Financials!J69/FXs!$C$10</f>
        <v>13316.380003537433</v>
      </c>
      <c r="K69" s="20">
        <f>+Raw_Financials!K69/FXs!$C$11</f>
        <v>30151.357982278601</v>
      </c>
      <c r="L69" s="20">
        <f t="shared" si="5"/>
        <v>9651.6184649256029</v>
      </c>
      <c r="M69" s="20">
        <f t="shared" si="6"/>
        <v>14223.342944857222</v>
      </c>
      <c r="N69" s="21">
        <f t="shared" si="7"/>
        <v>4571.7244799316195</v>
      </c>
      <c r="O69" s="21">
        <f t="shared" si="8"/>
        <v>-4063.5549748692556</v>
      </c>
      <c r="P69" s="21">
        <f t="shared" si="9"/>
        <v>27938.516384652081</v>
      </c>
    </row>
    <row r="70" spans="1:16" ht="16">
      <c r="A70" s="6" t="s">
        <v>68</v>
      </c>
      <c r="B70" s="20">
        <f>+Raw_Financials!B70/FXs!$C$2</f>
        <v>0</v>
      </c>
      <c r="C70" s="20">
        <f>+Raw_Financials!C70/FXs!$C$3</f>
        <v>0</v>
      </c>
      <c r="D70" s="20">
        <f>+Raw_Financials!D70/FXs!$C$4</f>
        <v>0</v>
      </c>
      <c r="E70" s="20">
        <f>+Raw_Financials!E70/FXs!$C$5</f>
        <v>780.07131921248356</v>
      </c>
      <c r="F70" s="20">
        <f>+Raw_Financials!F70/FXs!$C$6</f>
        <v>841.26679737564223</v>
      </c>
      <c r="G70" s="20">
        <f>+Raw_Financials!G70/FXs!$C$7</f>
        <v>999.67851360901477</v>
      </c>
      <c r="H70" s="20">
        <f>+Raw_Financials!H70/FXs!$C$8</f>
        <v>1531.9491193146478</v>
      </c>
      <c r="I70" s="20">
        <f>+Raw_Financials!I70/FXs!$C$9</f>
        <v>1856.3625618974006</v>
      </c>
      <c r="J70" s="20">
        <f>+Raw_Financials!J70/FXs!$C$10</f>
        <v>2310.3725377530504</v>
      </c>
      <c r="K70" s="20">
        <f>+Raw_Financials!K70/FXs!$C$11</f>
        <v>2164.4596235291065</v>
      </c>
      <c r="L70" s="20">
        <f t="shared" si="5"/>
        <v>195.01782980312089</v>
      </c>
      <c r="M70" s="20">
        <f t="shared" si="6"/>
        <v>1775.2592012517125</v>
      </c>
      <c r="N70" s="21">
        <f t="shared" si="7"/>
        <v>1580.2413714485915</v>
      </c>
      <c r="O70" s="21">
        <f t="shared" si="8"/>
        <v>-4545.7062845426535</v>
      </c>
      <c r="P70" s="21">
        <f t="shared" si="9"/>
        <v>6515.9833155974866</v>
      </c>
    </row>
    <row r="71" spans="1:16" ht="16">
      <c r="A71" s="7" t="s">
        <v>69</v>
      </c>
      <c r="B71" s="20">
        <f>+Raw_Financials!B71/FXs!$C$2</f>
        <v>9396.2800537733619</v>
      </c>
      <c r="C71" s="20">
        <f>+Raw_Financials!C71/FXs!$C$3</f>
        <v>11901.785779426767</v>
      </c>
      <c r="D71" s="20">
        <f>+Raw_Financials!D71/FXs!$C$4</f>
        <v>14246.77031947294</v>
      </c>
      <c r="E71" s="20">
        <f>+Raw_Financials!E71/FXs!$C$5</f>
        <v>13372.989501797587</v>
      </c>
      <c r="F71" s="20">
        <f>+Raw_Financials!F71/FXs!$C$6</f>
        <v>9003.6837818602726</v>
      </c>
      <c r="G71" s="20">
        <f>+Raw_Financials!G71/FXs!$C$7</f>
        <v>8587.4959132131498</v>
      </c>
      <c r="H71" s="20">
        <f>+Raw_Financials!H71/FXs!$C$8</f>
        <v>6420.306901310365</v>
      </c>
      <c r="I71" s="20">
        <f>+Raw_Financials!I71/FXs!$C$9</f>
        <v>22994.463306434431</v>
      </c>
      <c r="J71" s="20">
        <f>+Raw_Financials!J71/FXs!$C$10</f>
        <v>11006.007465784383</v>
      </c>
      <c r="K71" s="20">
        <f>+Raw_Financials!K71/FXs!$C$11</f>
        <v>27986.898358749495</v>
      </c>
      <c r="L71" s="20">
        <f t="shared" si="5"/>
        <v>9101.8328498385454</v>
      </c>
      <c r="M71" s="20">
        <f t="shared" si="6"/>
        <v>14028.325115054102</v>
      </c>
      <c r="N71" s="21">
        <f t="shared" si="7"/>
        <v>4926.4922652155565</v>
      </c>
      <c r="O71" s="21">
        <f t="shared" si="8"/>
        <v>-5677.643945808124</v>
      </c>
      <c r="P71" s="21">
        <f t="shared" si="9"/>
        <v>28807.801910700771</v>
      </c>
    </row>
    <row r="72" spans="1:16" ht="16">
      <c r="A72" s="6" t="s">
        <v>70</v>
      </c>
      <c r="B72" s="20">
        <f>+Raw_Financials!B72/FXs!$C$2</f>
        <v>0</v>
      </c>
      <c r="C72" s="20">
        <f>+Raw_Financials!C72/FXs!$C$3</f>
        <v>0</v>
      </c>
      <c r="D72" s="20">
        <f>+Raw_Financials!D72/FXs!$C$4</f>
        <v>0</v>
      </c>
      <c r="E72" s="20">
        <f>+Raw_Financials!E72/FXs!$C$5</f>
        <v>0</v>
      </c>
      <c r="F72" s="20">
        <f>+Raw_Financials!F72/FXs!$C$6</f>
        <v>0</v>
      </c>
      <c r="G72" s="20">
        <f>+Raw_Financials!G72/FXs!$C$7</f>
        <v>0</v>
      </c>
      <c r="H72" s="20">
        <f>+Raw_Financials!H72/FXs!$C$8</f>
        <v>0</v>
      </c>
      <c r="I72" s="20">
        <f>+Raw_Financials!I72/FXs!$C$9</f>
        <v>0</v>
      </c>
      <c r="J72" s="20">
        <f>+Raw_Financials!J72/FXs!$C$10</f>
        <v>0</v>
      </c>
      <c r="K72" s="20">
        <f>+Raw_Financials!K72/FXs!$C$11</f>
        <v>0</v>
      </c>
      <c r="L72" s="20">
        <f t="shared" si="5"/>
        <v>0</v>
      </c>
      <c r="M72" s="20">
        <f t="shared" si="6"/>
        <v>0</v>
      </c>
      <c r="N72" s="21">
        <f t="shared" si="7"/>
        <v>0</v>
      </c>
      <c r="O72" s="21">
        <f t="shared" si="8"/>
        <v>0</v>
      </c>
      <c r="P72" s="21">
        <f t="shared" si="9"/>
        <v>0</v>
      </c>
    </row>
    <row r="73" spans="1:16" ht="16">
      <c r="A73" s="5" t="s">
        <v>71</v>
      </c>
      <c r="B73" s="20">
        <f>+Raw_Financials!B73/FXs!$C$2</f>
        <v>0</v>
      </c>
      <c r="C73" s="20">
        <f>+Raw_Financials!C73/FXs!$C$3</f>
        <v>10325.468312739964</v>
      </c>
      <c r="D73" s="20">
        <f>+Raw_Financials!D73/FXs!$C$4</f>
        <v>16663.179471249237</v>
      </c>
      <c r="E73" s="20">
        <f>+Raw_Financials!E73/FXs!$C$5</f>
        <v>2776.0094805103945</v>
      </c>
      <c r="F73" s="20">
        <f>+Raw_Financials!F73/FXs!$C$6</f>
        <v>3345.7769890942463</v>
      </c>
      <c r="G73" s="20">
        <f>+Raw_Financials!G73/FXs!$C$7</f>
        <v>11074.540182279428</v>
      </c>
      <c r="H73" s="20">
        <f>+Raw_Financials!H73/FXs!$C$8</f>
        <v>1174.3211816346356</v>
      </c>
      <c r="I73" s="20">
        <f>+Raw_Financials!I73/FXs!$C$9</f>
        <v>8880.6484716472278</v>
      </c>
      <c r="J73" s="20">
        <f>+Raw_Financials!J73/FXs!$C$10</f>
        <v>9689.3228076415762</v>
      </c>
      <c r="K73" s="20">
        <f>+Raw_Financials!K73/FXs!$C$11</f>
        <v>38443.131272023689</v>
      </c>
      <c r="L73" s="20">
        <f t="shared" si="5"/>
        <v>2918.4513576563577</v>
      </c>
      <c r="M73" s="20">
        <f t="shared" si="6"/>
        <v>10887.272214894561</v>
      </c>
      <c r="N73" s="21">
        <f t="shared" si="7"/>
        <v>7968.8208572382036</v>
      </c>
      <c r="O73" s="21">
        <f t="shared" si="8"/>
        <v>-20988.011214058253</v>
      </c>
      <c r="P73" s="21">
        <f t="shared" si="9"/>
        <v>34793.734786609173</v>
      </c>
    </row>
    <row r="74" spans="1:16" ht="16">
      <c r="A74" s="6" t="s">
        <v>72</v>
      </c>
      <c r="B74" s="20">
        <f>+Raw_Financials!B74/FXs!$C$2</f>
        <v>0</v>
      </c>
      <c r="C74" s="20">
        <f>+Raw_Financials!C74/FXs!$C$3</f>
        <v>0</v>
      </c>
      <c r="D74" s="20">
        <f>+Raw_Financials!D74/FXs!$C$4</f>
        <v>64.546792274428896</v>
      </c>
      <c r="E74" s="20">
        <f>+Raw_Financials!E74/FXs!$C$5</f>
        <v>0</v>
      </c>
      <c r="F74" s="20">
        <f>+Raw_Financials!F74/FXs!$C$6</f>
        <v>0</v>
      </c>
      <c r="G74" s="20">
        <f>+Raw_Financials!G74/FXs!$C$7</f>
        <v>0</v>
      </c>
      <c r="H74" s="20">
        <f>+Raw_Financials!H74/FXs!$C$8</f>
        <v>0</v>
      </c>
      <c r="I74" s="20">
        <f>+Raw_Financials!I74/FXs!$C$9</f>
        <v>371.1660572961938</v>
      </c>
      <c r="J74" s="20">
        <f>+Raw_Financials!J74/FXs!$C$10</f>
        <v>0</v>
      </c>
      <c r="K74" s="20">
        <f>+Raw_Financials!K74/FXs!$C$11</f>
        <v>1784.4621916249982</v>
      </c>
      <c r="L74" s="20">
        <f t="shared" si="5"/>
        <v>0</v>
      </c>
      <c r="M74" s="20">
        <f t="shared" si="6"/>
        <v>48.410094205821672</v>
      </c>
      <c r="N74" s="21">
        <f t="shared" si="7"/>
        <v>48.410094205821672</v>
      </c>
      <c r="O74" s="21">
        <f t="shared" si="8"/>
        <v>-145.23028261746501</v>
      </c>
      <c r="P74" s="21">
        <f t="shared" si="9"/>
        <v>193.64037682328669</v>
      </c>
    </row>
    <row r="75" spans="1:16" ht="16">
      <c r="A75" s="5" t="s">
        <v>73</v>
      </c>
      <c r="B75" s="20">
        <f>+Raw_Financials!B75/FXs!$C$2</f>
        <v>17016.272497481208</v>
      </c>
      <c r="C75" s="20">
        <f>+Raw_Financials!C75/FXs!$C$3</f>
        <v>7409.7425882401403</v>
      </c>
      <c r="D75" s="20">
        <f>+Raw_Financials!D75/FXs!$C$4</f>
        <v>4886.0024776675282</v>
      </c>
      <c r="E75" s="20">
        <f>+Raw_Financials!E75/FXs!$C$5</f>
        <v>16094.624073173341</v>
      </c>
      <c r="F75" s="20">
        <f>+Raw_Financials!F75/FXs!$C$6</f>
        <v>15926.24462927801</v>
      </c>
      <c r="G75" s="20">
        <f>+Raw_Financials!G75/FXs!$C$7</f>
        <v>27123.806897561459</v>
      </c>
      <c r="H75" s="20">
        <f>+Raw_Financials!H75/FXs!$C$8</f>
        <v>15715.141909798025</v>
      </c>
      <c r="I75" s="20">
        <f>+Raw_Financials!I75/FXs!$C$9</f>
        <v>37172.108480383809</v>
      </c>
      <c r="J75" s="20">
        <f>+Raw_Financials!J75/FXs!$C$10</f>
        <v>28335.045324343628</v>
      </c>
      <c r="K75" s="20">
        <f>+Raw_Financials!K75/FXs!$C$11</f>
        <v>84243.612482664365</v>
      </c>
      <c r="L75" s="20">
        <f t="shared" si="5"/>
        <v>15767.917589668021</v>
      </c>
      <c r="M75" s="20">
        <f t="shared" si="6"/>
        <v>28032.235717648087</v>
      </c>
      <c r="N75" s="21">
        <f t="shared" si="7"/>
        <v>12264.318127980066</v>
      </c>
      <c r="O75" s="21">
        <f t="shared" si="8"/>
        <v>-21025.036794272182</v>
      </c>
      <c r="P75" s="21">
        <f t="shared" si="9"/>
        <v>64825.19010158829</v>
      </c>
    </row>
    <row r="76" spans="1:16" ht="16">
      <c r="A76" s="6" t="s">
        <v>75</v>
      </c>
      <c r="B76" s="20">
        <f>+Raw_Financials!B76/FXs!$C$2</f>
        <v>3770.6941057940458</v>
      </c>
      <c r="C76" s="20">
        <f>+Raw_Financials!C76/FXs!$C$3</f>
        <v>28662.105049220427</v>
      </c>
      <c r="D76" s="20">
        <f>+Raw_Financials!D76/FXs!$C$4</f>
        <v>28588.472038988948</v>
      </c>
      <c r="E76" s="20">
        <f>+Raw_Financials!E76/FXs!$C$5</f>
        <v>20730.763915188774</v>
      </c>
      <c r="F76" s="20">
        <f>+Raw_Financials!F76/FXs!$C$6</f>
        <v>18843.272251023445</v>
      </c>
      <c r="G76" s="20">
        <f>+Raw_Financials!G76/FXs!$C$7</f>
        <v>14246.738876422218</v>
      </c>
      <c r="H76" s="20">
        <f>+Raw_Financials!H76/FXs!$C$8</f>
        <v>18479.504405194199</v>
      </c>
      <c r="I76" s="20">
        <f>+Raw_Financials!I76/FXs!$C$9</f>
        <v>16901.89074354434</v>
      </c>
      <c r="J76" s="20">
        <f>+Raw_Financials!J76/FXs!$C$10</f>
        <v>10853.624881003872</v>
      </c>
      <c r="K76" s="20">
        <f>+Raw_Financials!K76/FXs!$C$11</f>
        <v>28650.156970302975</v>
      </c>
      <c r="L76" s="20">
        <f t="shared" si="5"/>
        <v>14910.526843202748</v>
      </c>
      <c r="M76" s="20">
        <f t="shared" si="6"/>
        <v>26624.045008038906</v>
      </c>
      <c r="N76" s="21">
        <f t="shared" si="7"/>
        <v>11713.518164836158</v>
      </c>
      <c r="O76" s="21">
        <f t="shared" si="8"/>
        <v>-20230.027651305722</v>
      </c>
      <c r="P76" s="21">
        <f t="shared" si="9"/>
        <v>61764.599502547375</v>
      </c>
    </row>
    <row r="77" spans="1:16" ht="16">
      <c r="A77" s="5" t="s">
        <v>76</v>
      </c>
      <c r="B77" s="20">
        <f>+Raw_Financials!B77/FXs!$C$2</f>
        <v>0</v>
      </c>
      <c r="C77" s="20">
        <f>+Raw_Financials!C77/FXs!$C$3</f>
        <v>0</v>
      </c>
      <c r="D77" s="20">
        <f>+Raw_Financials!D77/FXs!$C$4</f>
        <v>0</v>
      </c>
      <c r="E77" s="20">
        <f>+Raw_Financials!E77/FXs!$C$5</f>
        <v>0</v>
      </c>
      <c r="F77" s="20">
        <f>+Raw_Financials!F77/FXs!$C$6</f>
        <v>0</v>
      </c>
      <c r="G77" s="20">
        <f>+Raw_Financials!G77/FXs!$C$7</f>
        <v>0</v>
      </c>
      <c r="H77" s="20">
        <f>+Raw_Financials!H77/FXs!$C$8</f>
        <v>0</v>
      </c>
      <c r="I77" s="20">
        <f>+Raw_Financials!I77/FXs!$C$9</f>
        <v>0</v>
      </c>
      <c r="J77" s="20">
        <f>+Raw_Financials!J77/FXs!$C$10</f>
        <v>0</v>
      </c>
      <c r="K77" s="20">
        <f>+Raw_Financials!K77/FXs!$C$11</f>
        <v>0</v>
      </c>
      <c r="L77" s="20">
        <f t="shared" si="5"/>
        <v>0</v>
      </c>
      <c r="M77" s="20">
        <f t="shared" si="6"/>
        <v>0</v>
      </c>
      <c r="N77" s="21">
        <f t="shared" si="7"/>
        <v>0</v>
      </c>
      <c r="O77" s="21">
        <f t="shared" si="8"/>
        <v>0</v>
      </c>
      <c r="P77" s="21">
        <f t="shared" si="9"/>
        <v>0</v>
      </c>
    </row>
    <row r="78" spans="1:16" ht="16">
      <c r="A78" s="6" t="s">
        <v>77</v>
      </c>
      <c r="B78" s="20">
        <f>+Raw_Financials!B78/FXs!$C$2</f>
        <v>0</v>
      </c>
      <c r="C78" s="20">
        <f>+Raw_Financials!C78/FXs!$C$3</f>
        <v>0</v>
      </c>
      <c r="D78" s="20">
        <f>+Raw_Financials!D78/FXs!$C$4</f>
        <v>0</v>
      </c>
      <c r="E78" s="20">
        <f>+Raw_Financials!E78/FXs!$C$5</f>
        <v>0</v>
      </c>
      <c r="F78" s="20">
        <f>+Raw_Financials!F78/FXs!$C$6</f>
        <v>0</v>
      </c>
      <c r="G78" s="20">
        <f>+Raw_Financials!G78/FXs!$C$7</f>
        <v>0</v>
      </c>
      <c r="H78" s="20">
        <f>+Raw_Financials!H78/FXs!$C$8</f>
        <v>0</v>
      </c>
      <c r="I78" s="20">
        <f>+Raw_Financials!I78/FXs!$C$9</f>
        <v>0</v>
      </c>
      <c r="J78" s="20">
        <f>+Raw_Financials!J78/FXs!$C$10</f>
        <v>0</v>
      </c>
      <c r="K78" s="20">
        <f>+Raw_Financials!K78/FXs!$C$11</f>
        <v>0</v>
      </c>
      <c r="L78" s="20">
        <f t="shared" si="5"/>
        <v>0</v>
      </c>
      <c r="M78" s="20">
        <f t="shared" si="6"/>
        <v>0</v>
      </c>
      <c r="N78" s="21">
        <f t="shared" si="7"/>
        <v>0</v>
      </c>
      <c r="O78" s="21">
        <f t="shared" si="8"/>
        <v>0</v>
      </c>
      <c r="P78" s="21">
        <f t="shared" si="9"/>
        <v>0</v>
      </c>
    </row>
    <row r="79" spans="1:16" ht="16">
      <c r="A79" s="5" t="s">
        <v>78</v>
      </c>
      <c r="B79" s="20">
        <f>+Raw_Financials!B79/FXs!$C$2</f>
        <v>0</v>
      </c>
      <c r="C79" s="20">
        <f>+Raw_Financials!C79/FXs!$C$3</f>
        <v>0</v>
      </c>
      <c r="D79" s="20">
        <f>+Raw_Financials!D79/FXs!$C$4</f>
        <v>0</v>
      </c>
      <c r="E79" s="20">
        <f>+Raw_Financials!E79/FXs!$C$5</f>
        <v>0</v>
      </c>
      <c r="F79" s="20">
        <f>+Raw_Financials!F79/FXs!$C$6</f>
        <v>0</v>
      </c>
      <c r="G79" s="20">
        <f>+Raw_Financials!G79/FXs!$C$7</f>
        <v>0</v>
      </c>
      <c r="H79" s="20">
        <f>+Raw_Financials!H79/FXs!$C$8</f>
        <v>0</v>
      </c>
      <c r="I79" s="20">
        <f>+Raw_Financials!I79/FXs!$C$9</f>
        <v>0</v>
      </c>
      <c r="J79" s="20">
        <f>+Raw_Financials!J79/FXs!$C$10</f>
        <v>0</v>
      </c>
      <c r="K79" s="20">
        <f>+Raw_Financials!K79/FXs!$C$11</f>
        <v>0</v>
      </c>
      <c r="L79" s="20">
        <f t="shared" si="5"/>
        <v>0</v>
      </c>
      <c r="M79" s="20">
        <f t="shared" si="6"/>
        <v>0</v>
      </c>
      <c r="N79" s="21">
        <f t="shared" si="7"/>
        <v>0</v>
      </c>
      <c r="O79" s="21">
        <f t="shared" si="8"/>
        <v>0</v>
      </c>
      <c r="P79" s="21">
        <f t="shared" si="9"/>
        <v>0</v>
      </c>
    </row>
    <row r="80" spans="1:16" ht="16">
      <c r="A80" s="6" t="s">
        <v>79</v>
      </c>
      <c r="B80" s="20">
        <f>+Raw_Financials!B80/FXs!$C$2</f>
        <v>5015.8414013270385</v>
      </c>
      <c r="C80" s="20">
        <f>+Raw_Financials!C80/FXs!$C$3</f>
        <v>4131.7032065078283</v>
      </c>
      <c r="D80" s="20">
        <f>+Raw_Financials!D80/FXs!$C$4</f>
        <v>2729.2988027494166</v>
      </c>
      <c r="E80" s="20">
        <f>+Raw_Financials!E80/FXs!$C$5</f>
        <v>2050.4073011776186</v>
      </c>
      <c r="F80" s="20">
        <f>+Raw_Financials!F80/FXs!$C$6</f>
        <v>2669.3002605354791</v>
      </c>
      <c r="G80" s="20">
        <f>+Raw_Financials!G80/FXs!$C$7</f>
        <v>2440.4358038004457</v>
      </c>
      <c r="H80" s="20">
        <f>+Raw_Financials!H80/FXs!$C$8</f>
        <v>661.23671323074802</v>
      </c>
      <c r="I80" s="20">
        <f>+Raw_Financials!I80/FXs!$C$9</f>
        <v>6099.5411319584618</v>
      </c>
      <c r="J80" s="20">
        <f>+Raw_Financials!J80/FXs!$C$10</f>
        <v>14816.519451697464</v>
      </c>
      <c r="K80" s="20">
        <f>+Raw_Financials!K80/FXs!$C$11</f>
        <v>31833.158467534104</v>
      </c>
      <c r="L80" s="20">
        <f t="shared" si="5"/>
        <v>2497.6519179842039</v>
      </c>
      <c r="M80" s="20">
        <f t="shared" si="6"/>
        <v>5828.6161993006062</v>
      </c>
      <c r="N80" s="21">
        <f t="shared" si="7"/>
        <v>3330.9642813164023</v>
      </c>
      <c r="O80" s="21">
        <f t="shared" si="8"/>
        <v>-7495.240925965003</v>
      </c>
      <c r="P80" s="21">
        <f t="shared" si="9"/>
        <v>15821.509043249813</v>
      </c>
    </row>
    <row r="81" spans="1:16" ht="16">
      <c r="A81" s="5" t="s">
        <v>80</v>
      </c>
      <c r="B81" s="20">
        <f>+Raw_Financials!B81/FXs!$C$2</f>
        <v>0</v>
      </c>
      <c r="C81" s="20">
        <f>+Raw_Financials!C81/FXs!$C$3</f>
        <v>0</v>
      </c>
      <c r="D81" s="20">
        <f>+Raw_Financials!D81/FXs!$C$4</f>
        <v>0</v>
      </c>
      <c r="E81" s="20">
        <f>+Raw_Financials!E81/FXs!$C$5</f>
        <v>0</v>
      </c>
      <c r="F81" s="20">
        <f>+Raw_Financials!F81/FXs!$C$6</f>
        <v>0</v>
      </c>
      <c r="G81" s="20">
        <f>+Raw_Financials!G81/FXs!$C$7</f>
        <v>0</v>
      </c>
      <c r="H81" s="20">
        <f>+Raw_Financials!H81/FXs!$C$8</f>
        <v>0</v>
      </c>
      <c r="I81" s="20">
        <f>+Raw_Financials!I81/FXs!$C$9</f>
        <v>0</v>
      </c>
      <c r="J81" s="20">
        <f>+Raw_Financials!J81/FXs!$C$10</f>
        <v>0</v>
      </c>
      <c r="K81" s="20">
        <f>+Raw_Financials!K81/FXs!$C$11</f>
        <v>0</v>
      </c>
      <c r="L81" s="20">
        <f t="shared" si="5"/>
        <v>0</v>
      </c>
      <c r="M81" s="20">
        <f t="shared" si="6"/>
        <v>0</v>
      </c>
      <c r="N81" s="21">
        <f t="shared" si="7"/>
        <v>0</v>
      </c>
      <c r="O81" s="21">
        <f t="shared" si="8"/>
        <v>0</v>
      </c>
      <c r="P81" s="21">
        <f t="shared" si="9"/>
        <v>0</v>
      </c>
    </row>
    <row r="82" spans="1:16" ht="16">
      <c r="A82" s="7" t="s">
        <v>81</v>
      </c>
      <c r="B82" s="20">
        <f>+Raw_Financials!B82/FXs!$C$2</f>
        <v>8786.5355071210852</v>
      </c>
      <c r="C82" s="20">
        <f>+Raw_Financials!C82/FXs!$C$3</f>
        <v>32793.808255728254</v>
      </c>
      <c r="D82" s="20">
        <f>+Raw_Financials!D82/FXs!$C$4</f>
        <v>31317.770841738362</v>
      </c>
      <c r="E82" s="20">
        <f>+Raw_Financials!E82/FXs!$C$5</f>
        <v>22781.171216366394</v>
      </c>
      <c r="F82" s="20">
        <f>+Raw_Financials!F82/FXs!$C$6</f>
        <v>21512.572511558927</v>
      </c>
      <c r="G82" s="20">
        <f>+Raw_Financials!G82/FXs!$C$7</f>
        <v>16687.174680222663</v>
      </c>
      <c r="H82" s="20">
        <f>+Raw_Financials!H82/FXs!$C$8</f>
        <v>19140.741118424947</v>
      </c>
      <c r="I82" s="20">
        <f>+Raw_Financials!I82/FXs!$C$9</f>
        <v>23001.431875502803</v>
      </c>
      <c r="J82" s="20">
        <f>+Raw_Financials!J82/FXs!$C$10</f>
        <v>25670.144332701337</v>
      </c>
      <c r="K82" s="20">
        <f>+Raw_Financials!K82/FXs!$C$11</f>
        <v>60483.315437837082</v>
      </c>
      <c r="L82" s="20">
        <f t="shared" si="5"/>
        <v>19733.698966708442</v>
      </c>
      <c r="M82" s="20">
        <f t="shared" si="6"/>
        <v>29905.864214479105</v>
      </c>
      <c r="N82" s="21">
        <f t="shared" si="7"/>
        <v>10172.165247770663</v>
      </c>
      <c r="O82" s="21">
        <f t="shared" si="8"/>
        <v>-10782.796776603547</v>
      </c>
      <c r="P82" s="21">
        <f t="shared" si="9"/>
        <v>60422.359957791094</v>
      </c>
    </row>
    <row r="83" spans="1:16" ht="16">
      <c r="A83" s="5" t="s">
        <v>82</v>
      </c>
      <c r="B83" s="20">
        <f>+Raw_Financials!B83/FXs!$C$2</f>
        <v>0</v>
      </c>
      <c r="C83" s="20">
        <f>+Raw_Financials!C83/FXs!$C$3</f>
        <v>0</v>
      </c>
      <c r="D83" s="20">
        <f>+Raw_Financials!D83/FXs!$C$4</f>
        <v>0</v>
      </c>
      <c r="E83" s="20">
        <f>+Raw_Financials!E83/FXs!$C$5</f>
        <v>0</v>
      </c>
      <c r="F83" s="20">
        <f>+Raw_Financials!F83/FXs!$C$6</f>
        <v>0</v>
      </c>
      <c r="G83" s="20">
        <f>+Raw_Financials!G83/FXs!$C$7</f>
        <v>0</v>
      </c>
      <c r="H83" s="20">
        <f>+Raw_Financials!H83/FXs!$C$8</f>
        <v>0</v>
      </c>
      <c r="I83" s="20">
        <f>+Raw_Financials!I83/FXs!$C$9</f>
        <v>294601.15081145219</v>
      </c>
      <c r="J83" s="20">
        <f>+Raw_Financials!J83/FXs!$C$10</f>
        <v>0</v>
      </c>
      <c r="K83" s="20">
        <f>+Raw_Financials!K83/FXs!$C$11</f>
        <v>0</v>
      </c>
      <c r="L83" s="20">
        <f t="shared" si="5"/>
        <v>0</v>
      </c>
      <c r="M83" s="20">
        <f t="shared" si="6"/>
        <v>0</v>
      </c>
      <c r="N83" s="21">
        <f t="shared" si="7"/>
        <v>0</v>
      </c>
      <c r="O83" s="21">
        <f t="shared" si="8"/>
        <v>0</v>
      </c>
      <c r="P83" s="21">
        <f t="shared" si="9"/>
        <v>0</v>
      </c>
    </row>
    <row r="84" spans="1:16" ht="16">
      <c r="A84" s="6" t="s">
        <v>83</v>
      </c>
      <c r="B84" s="20">
        <f>+Raw_Financials!B84/FXs!$C$2</f>
        <v>0</v>
      </c>
      <c r="C84" s="20">
        <f>+Raw_Financials!C84/FXs!$C$3</f>
        <v>0</v>
      </c>
      <c r="D84" s="20">
        <f>+Raw_Financials!D84/FXs!$C$4</f>
        <v>0</v>
      </c>
      <c r="E84" s="20">
        <f>+Raw_Financials!E84/FXs!$C$5</f>
        <v>0</v>
      </c>
      <c r="F84" s="20">
        <f>+Raw_Financials!F84/FXs!$C$6</f>
        <v>0</v>
      </c>
      <c r="G84" s="20">
        <f>+Raw_Financials!G84/FXs!$C$7</f>
        <v>0</v>
      </c>
      <c r="H84" s="20">
        <f>+Raw_Financials!H84/FXs!$C$8</f>
        <v>0</v>
      </c>
      <c r="I84" s="20">
        <f>+Raw_Financials!I84/FXs!$C$9</f>
        <v>0</v>
      </c>
      <c r="J84" s="20">
        <f>+Raw_Financials!J84/FXs!$C$10</f>
        <v>0</v>
      </c>
      <c r="K84" s="20">
        <f>+Raw_Financials!K84/FXs!$C$11</f>
        <v>0</v>
      </c>
      <c r="L84" s="20">
        <f t="shared" si="5"/>
        <v>0</v>
      </c>
      <c r="M84" s="20">
        <f t="shared" si="6"/>
        <v>0</v>
      </c>
      <c r="N84" s="21">
        <f t="shared" si="7"/>
        <v>0</v>
      </c>
      <c r="O84" s="21">
        <f t="shared" si="8"/>
        <v>0</v>
      </c>
      <c r="P84" s="21">
        <f t="shared" si="9"/>
        <v>0</v>
      </c>
    </row>
    <row r="85" spans="1:16" ht="16">
      <c r="A85" s="6" t="s">
        <v>84</v>
      </c>
      <c r="B85" s="20">
        <f>+Raw_Financials!B85/FXs!$C$2</f>
        <v>10835.991394471223</v>
      </c>
      <c r="C85" s="20">
        <f>+Raw_Financials!C85/FXs!$C$3</f>
        <v>9060.4155744666841</v>
      </c>
      <c r="D85" s="20">
        <f>+Raw_Financials!D85/FXs!$C$4</f>
        <v>8215.5812246756068</v>
      </c>
      <c r="E85" s="20">
        <f>+Raw_Financials!E85/FXs!$C$5</f>
        <v>5957.4808532100478</v>
      </c>
      <c r="F85" s="20">
        <f>+Raw_Financials!F85/FXs!$C$6</f>
        <v>10554.139228422458</v>
      </c>
      <c r="G85" s="20">
        <f>+Raw_Financials!G85/FXs!$C$7</f>
        <v>24566.92770483912</v>
      </c>
      <c r="H85" s="20">
        <f>+Raw_Financials!H85/FXs!$C$8</f>
        <v>4554.1745796473115</v>
      </c>
      <c r="I85" s="20">
        <f>+Raw_Financials!I85/FXs!$C$9</f>
        <v>3305.8558880895166</v>
      </c>
      <c r="J85" s="20">
        <f>+Raw_Financials!J85/FXs!$C$10</f>
        <v>17503.212558111547</v>
      </c>
      <c r="K85" s="20">
        <f>+Raw_Financials!K85/FXs!$C$11</f>
        <v>1765.1685742678997</v>
      </c>
      <c r="L85" s="20">
        <f t="shared" si="5"/>
        <v>4905.0011480379953</v>
      </c>
      <c r="M85" s="20">
        <f t="shared" si="6"/>
        <v>10765.528352959031</v>
      </c>
      <c r="N85" s="21">
        <f t="shared" si="7"/>
        <v>5860.5272049210353</v>
      </c>
      <c r="O85" s="21">
        <f t="shared" si="8"/>
        <v>-12676.58046672511</v>
      </c>
      <c r="P85" s="21">
        <f t="shared" si="9"/>
        <v>28347.109967722135</v>
      </c>
    </row>
    <row r="86" spans="1:16" ht="16">
      <c r="A86" s="5" t="s">
        <v>85</v>
      </c>
      <c r="B86" s="20">
        <f>+Raw_Financials!B86/FXs!$C$2</f>
        <v>-9847.6239112679505</v>
      </c>
      <c r="C86" s="20">
        <f>+Raw_Financials!C86/FXs!$C$3</f>
        <v>-28935.940507892275</v>
      </c>
      <c r="D86" s="20">
        <f>+Raw_Financials!D86/FXs!$C$4</f>
        <v>-28226.990042300757</v>
      </c>
      <c r="E86" s="20">
        <f>+Raw_Financials!E86/FXs!$C$5</f>
        <v>-20993.671840084178</v>
      </c>
      <c r="F86" s="20">
        <f>+Raw_Financials!F86/FXs!$C$6</f>
        <v>-16646.748663451293</v>
      </c>
      <c r="G86" s="20">
        <f>+Raw_Financials!G86/FXs!$C$7</f>
        <v>-32181.811317992298</v>
      </c>
      <c r="H86" s="20">
        <f>+Raw_Financials!H86/FXs!$C$8</f>
        <v>-19570.330937531409</v>
      </c>
      <c r="I86" s="20">
        <f>+Raw_Financials!I86/FXs!$C$9</f>
        <v>-5224.8973143066851</v>
      </c>
      <c r="J86" s="20">
        <f>+Raw_Financials!J86/FXs!$C$10</f>
        <v>292382.4185420266</v>
      </c>
      <c r="K86" s="20">
        <f>+Raw_Financials!K86/FXs!$C$11</f>
        <v>363467.1177460216</v>
      </c>
      <c r="L86" s="20">
        <f t="shared" si="5"/>
        <v>-26418.66049174661</v>
      </c>
      <c r="M86" s="20">
        <f t="shared" si="6"/>
        <v>-6380.578963547001</v>
      </c>
      <c r="N86" s="21">
        <f t="shared" si="7"/>
        <v>20038.081528199611</v>
      </c>
      <c r="O86" s="21">
        <f t="shared" si="8"/>
        <v>-86532.905076345443</v>
      </c>
      <c r="P86" s="21">
        <f t="shared" si="9"/>
        <v>53733.665621051834</v>
      </c>
    </row>
    <row r="87" spans="1:16" ht="16">
      <c r="A87" s="6" t="s">
        <v>86</v>
      </c>
      <c r="B87" s="20">
        <f>+Raw_Financials!B87/FXs!$C$2</f>
        <v>0</v>
      </c>
      <c r="C87" s="20">
        <f>+Raw_Financials!C87/FXs!$C$3</f>
        <v>0</v>
      </c>
      <c r="D87" s="20">
        <f>+Raw_Financials!D87/FXs!$C$4</f>
        <v>0</v>
      </c>
      <c r="E87" s="20">
        <f>+Raw_Financials!E87/FXs!$C$5</f>
        <v>0</v>
      </c>
      <c r="F87" s="20">
        <f>+Raw_Financials!F87/FXs!$C$6</f>
        <v>0</v>
      </c>
      <c r="G87" s="20">
        <f>+Raw_Financials!G87/FXs!$C$7</f>
        <v>0</v>
      </c>
      <c r="H87" s="20">
        <f>+Raw_Financials!H87/FXs!$C$8</f>
        <v>0</v>
      </c>
      <c r="I87" s="20">
        <f>+Raw_Financials!I87/FXs!$C$9</f>
        <v>0</v>
      </c>
      <c r="J87" s="20">
        <f>+Raw_Financials!J87/FXs!$C$10</f>
        <v>0</v>
      </c>
      <c r="K87" s="20">
        <f>+Raw_Financials!K87/FXs!$C$11</f>
        <v>0</v>
      </c>
      <c r="L87" s="20">
        <f t="shared" si="5"/>
        <v>0</v>
      </c>
      <c r="M87" s="20">
        <f t="shared" si="6"/>
        <v>0</v>
      </c>
      <c r="N87" s="21">
        <f t="shared" si="7"/>
        <v>0</v>
      </c>
      <c r="O87" s="21">
        <f t="shared" si="8"/>
        <v>0</v>
      </c>
      <c r="P87" s="21">
        <f t="shared" si="9"/>
        <v>0</v>
      </c>
    </row>
    <row r="88" spans="1:16" ht="16">
      <c r="A88" s="5" t="s">
        <v>87</v>
      </c>
      <c r="B88" s="20">
        <f>+Raw_Financials!B88/FXs!$C$2</f>
        <v>0</v>
      </c>
      <c r="C88" s="20">
        <f>+Raw_Financials!C88/FXs!$C$3</f>
        <v>0</v>
      </c>
      <c r="D88" s="20">
        <f>+Raw_Financials!D88/FXs!$C$4</f>
        <v>0</v>
      </c>
      <c r="E88" s="20">
        <f>+Raw_Financials!E88/FXs!$C$5</f>
        <v>0</v>
      </c>
      <c r="F88" s="20">
        <f>+Raw_Financials!F88/FXs!$C$6</f>
        <v>0</v>
      </c>
      <c r="G88" s="20">
        <f>+Raw_Financials!G88/FXs!$C$7</f>
        <v>0</v>
      </c>
      <c r="H88" s="20">
        <f>+Raw_Financials!H88/FXs!$C$8</f>
        <v>0</v>
      </c>
      <c r="I88" s="20">
        <f>+Raw_Financials!I88/FXs!$C$9</f>
        <v>0</v>
      </c>
      <c r="J88" s="20">
        <f>+Raw_Financials!J88/FXs!$C$10</f>
        <v>0</v>
      </c>
      <c r="K88" s="20">
        <f>+Raw_Financials!K88/FXs!$C$11</f>
        <v>0</v>
      </c>
      <c r="L88" s="20">
        <f t="shared" si="5"/>
        <v>0</v>
      </c>
      <c r="M88" s="20">
        <f t="shared" si="6"/>
        <v>0</v>
      </c>
      <c r="N88" s="21">
        <f t="shared" si="7"/>
        <v>0</v>
      </c>
      <c r="O88" s="21">
        <f t="shared" si="8"/>
        <v>0</v>
      </c>
      <c r="P88" s="21">
        <f t="shared" si="9"/>
        <v>0</v>
      </c>
    </row>
    <row r="89" spans="1:16" ht="16">
      <c r="A89" s="6" t="s">
        <v>88</v>
      </c>
      <c r="B89" s="20">
        <f>+Raw_Financials!B89/FXs!$C$2</f>
        <v>0</v>
      </c>
      <c r="C89" s="20">
        <f>+Raw_Financials!C89/FXs!$C$3</f>
        <v>0</v>
      </c>
      <c r="D89" s="20">
        <f>+Raw_Financials!D89/FXs!$C$4</f>
        <v>0</v>
      </c>
      <c r="E89" s="20">
        <f>+Raw_Financials!E89/FXs!$C$5</f>
        <v>0</v>
      </c>
      <c r="F89" s="20">
        <f>+Raw_Financials!F89/FXs!$C$6</f>
        <v>0</v>
      </c>
      <c r="G89" s="20">
        <f>+Raw_Financials!G89/FXs!$C$7</f>
        <v>0</v>
      </c>
      <c r="H89" s="20">
        <f>+Raw_Financials!H89/FXs!$C$8</f>
        <v>0</v>
      </c>
      <c r="I89" s="20">
        <f>+Raw_Financials!I89/FXs!$C$9</f>
        <v>0</v>
      </c>
      <c r="J89" s="20">
        <f>+Raw_Financials!J89/FXs!$C$10</f>
        <v>0</v>
      </c>
      <c r="K89" s="20">
        <f>+Raw_Financials!K89/FXs!$C$11</f>
        <v>0</v>
      </c>
      <c r="L89" s="20">
        <f t="shared" si="5"/>
        <v>0</v>
      </c>
      <c r="M89" s="20">
        <f t="shared" si="6"/>
        <v>0</v>
      </c>
      <c r="N89" s="21">
        <f t="shared" si="7"/>
        <v>0</v>
      </c>
      <c r="O89" s="21">
        <f t="shared" si="8"/>
        <v>0</v>
      </c>
      <c r="P89" s="21">
        <f t="shared" si="9"/>
        <v>0</v>
      </c>
    </row>
    <row r="90" spans="1:16" ht="16">
      <c r="A90" s="5" t="s">
        <v>89</v>
      </c>
      <c r="B90" s="20">
        <f>+Raw_Financials!B90/FXs!$C$2</f>
        <v>0</v>
      </c>
      <c r="C90" s="20">
        <f>+Raw_Financials!C90/FXs!$C$3</f>
        <v>0</v>
      </c>
      <c r="D90" s="20">
        <f>+Raw_Financials!D90/FXs!$C$4</f>
        <v>0</v>
      </c>
      <c r="E90" s="20">
        <f>+Raw_Financials!E90/FXs!$C$5</f>
        <v>0</v>
      </c>
      <c r="F90" s="20">
        <f>+Raw_Financials!F90/FXs!$C$6</f>
        <v>0</v>
      </c>
      <c r="G90" s="20">
        <f>+Raw_Financials!G90/FXs!$C$7</f>
        <v>0</v>
      </c>
      <c r="H90" s="20">
        <f>+Raw_Financials!H90/FXs!$C$8</f>
        <v>0</v>
      </c>
      <c r="I90" s="20">
        <f>+Raw_Financials!I90/FXs!$C$9</f>
        <v>0</v>
      </c>
      <c r="J90" s="20">
        <f>+Raw_Financials!J90/FXs!$C$10</f>
        <v>0</v>
      </c>
      <c r="K90" s="20">
        <f>+Raw_Financials!K90/FXs!$C$11</f>
        <v>0</v>
      </c>
      <c r="L90" s="20">
        <f t="shared" si="5"/>
        <v>0</v>
      </c>
      <c r="M90" s="20">
        <f t="shared" si="6"/>
        <v>0</v>
      </c>
      <c r="N90" s="21">
        <f t="shared" si="7"/>
        <v>0</v>
      </c>
      <c r="O90" s="21">
        <f t="shared" si="8"/>
        <v>0</v>
      </c>
      <c r="P90" s="21">
        <f t="shared" si="9"/>
        <v>0</v>
      </c>
    </row>
    <row r="91" spans="1:16" ht="16">
      <c r="A91" s="6" t="s">
        <v>90</v>
      </c>
      <c r="B91" s="20">
        <f>+Raw_Financials!B91/FXs!$C$2</f>
        <v>-16225.147966209786</v>
      </c>
      <c r="C91" s="20">
        <f>+Raw_Financials!C91/FXs!$C$3</f>
        <v>-14745.482200832648</v>
      </c>
      <c r="D91" s="20">
        <f>+Raw_Financials!D91/FXs!$C$4</f>
        <v>-14299.597917372987</v>
      </c>
      <c r="E91" s="20">
        <f>+Raw_Financials!E91/FXs!$C$5</f>
        <v>-10346.132500991684</v>
      </c>
      <c r="F91" s="20">
        <f>+Raw_Financials!F91/FXs!$C$6</f>
        <v>-8284.3506001036785</v>
      </c>
      <c r="G91" s="20">
        <f>+Raw_Financials!G91/FXs!$C$7</f>
        <v>-6965.3402070563625</v>
      </c>
      <c r="H91" s="20">
        <f>+Raw_Financials!H91/FXs!$C$8</f>
        <v>-3172.7121849725049</v>
      </c>
      <c r="I91" s="20">
        <f>+Raw_Financials!I91/FXs!$C$9</f>
        <v>-3896.9988729634279</v>
      </c>
      <c r="J91" s="20">
        <f>+Raw_Financials!J91/FXs!$C$10</f>
        <v>36676.244967379942</v>
      </c>
      <c r="K91" s="20">
        <f>+Raw_Financials!K91/FXs!$C$11</f>
        <v>64138.922475409519</v>
      </c>
      <c r="L91" s="20">
        <f t="shared" si="5"/>
        <v>-13311.231563277661</v>
      </c>
      <c r="M91" s="20">
        <f t="shared" si="6"/>
        <v>-3353.7838569702358</v>
      </c>
      <c r="N91" s="21">
        <f t="shared" si="7"/>
        <v>9957.4477063074246</v>
      </c>
      <c r="O91" s="21">
        <f t="shared" si="8"/>
        <v>-43183.574682199935</v>
      </c>
      <c r="P91" s="21">
        <f t="shared" si="9"/>
        <v>26518.559261952039</v>
      </c>
    </row>
    <row r="92" spans="1:16" ht="16">
      <c r="A92" s="5" t="s">
        <v>91</v>
      </c>
      <c r="B92" s="20">
        <f>+Raw_Financials!B92/FXs!$C$2</f>
        <v>0</v>
      </c>
      <c r="C92" s="20">
        <f>+Raw_Financials!C92/FXs!$C$3</f>
        <v>0</v>
      </c>
      <c r="D92" s="20">
        <f>+Raw_Financials!D92/FXs!$C$4</f>
        <v>0</v>
      </c>
      <c r="E92" s="20">
        <f>+Raw_Financials!E92/FXs!$C$5</f>
        <v>0</v>
      </c>
      <c r="F92" s="20">
        <f>+Raw_Financials!F92/FXs!$C$6</f>
        <v>0</v>
      </c>
      <c r="G92" s="20">
        <f>+Raw_Financials!G92/FXs!$C$7</f>
        <v>0</v>
      </c>
      <c r="H92" s="20">
        <f>+Raw_Financials!H92/FXs!$C$8</f>
        <v>0</v>
      </c>
      <c r="I92" s="20">
        <f>+Raw_Financials!I92/FXs!$C$9</f>
        <v>0</v>
      </c>
      <c r="J92" s="20">
        <f>+Raw_Financials!J92/FXs!$C$10</f>
        <v>0</v>
      </c>
      <c r="K92" s="20">
        <f>+Raw_Financials!K92/FXs!$C$11</f>
        <v>0</v>
      </c>
      <c r="L92" s="20">
        <f t="shared" si="5"/>
        <v>0</v>
      </c>
      <c r="M92" s="20">
        <f t="shared" si="6"/>
        <v>0</v>
      </c>
      <c r="N92" s="21">
        <f t="shared" si="7"/>
        <v>0</v>
      </c>
      <c r="O92" s="21">
        <f t="shared" si="8"/>
        <v>0</v>
      </c>
      <c r="P92" s="21">
        <f t="shared" si="9"/>
        <v>0</v>
      </c>
    </row>
    <row r="93" spans="1:16" ht="16">
      <c r="A93" s="7" t="s">
        <v>74</v>
      </c>
      <c r="B93" s="20">
        <f>+Raw_Financials!B93/FXs!$C$2</f>
        <v>-15236.780483006514</v>
      </c>
      <c r="C93" s="20">
        <f>+Raw_Financials!C93/FXs!$C$3</f>
        <v>-34621.007134258238</v>
      </c>
      <c r="D93" s="20">
        <f>+Raw_Financials!D93/FXs!$C$4</f>
        <v>-34311.006734998133</v>
      </c>
      <c r="E93" s="20">
        <f>+Raw_Financials!E93/FXs!$C$5</f>
        <v>-25382.323487865815</v>
      </c>
      <c r="F93" s="20">
        <f>+Raw_Financials!F93/FXs!$C$6</f>
        <v>-14376.960035132513</v>
      </c>
      <c r="G93" s="20">
        <f>+Raw_Financials!G93/FXs!$C$7</f>
        <v>-14580.223820209541</v>
      </c>
      <c r="H93" s="20">
        <f>+Raw_Financials!H93/FXs!$C$8</f>
        <v>-18188.868542856602</v>
      </c>
      <c r="I93" s="20">
        <f>+Raw_Financials!I93/FXs!$C$9</f>
        <v>288785.11051227158</v>
      </c>
      <c r="J93" s="20">
        <f>+Raw_Financials!J93/FXs!$C$10</f>
        <v>346561.87606751808</v>
      </c>
      <c r="K93" s="20">
        <f>+Raw_Financials!K93/FXs!$C$11</f>
        <v>429371.208795699</v>
      </c>
      <c r="L93" s="20">
        <f t="shared" si="5"/>
        <v>-23583.959751613511</v>
      </c>
      <c r="M93" s="20">
        <f t="shared" si="6"/>
        <v>212994.59287542058</v>
      </c>
      <c r="N93" s="21">
        <f t="shared" si="7"/>
        <v>236578.55262703408</v>
      </c>
      <c r="O93" s="21">
        <f t="shared" si="8"/>
        <v>-733319.61763271585</v>
      </c>
      <c r="P93" s="21">
        <f t="shared" si="9"/>
        <v>922730.25075652287</v>
      </c>
    </row>
    <row r="94" spans="1:16" ht="16">
      <c r="A94" s="5" t="s">
        <v>92</v>
      </c>
      <c r="B94" s="20">
        <f>+Raw_Financials!B94/FXs!$C$2</f>
        <v>0</v>
      </c>
      <c r="C94" s="20">
        <f>+Raw_Financials!C94/FXs!$C$3</f>
        <v>0</v>
      </c>
      <c r="D94" s="20">
        <f>+Raw_Financials!D94/FXs!$C$4</f>
        <v>0</v>
      </c>
      <c r="E94" s="20">
        <f>+Raw_Financials!E94/FXs!$C$5</f>
        <v>0</v>
      </c>
      <c r="F94" s="20">
        <f>+Raw_Financials!F94/FXs!$C$6</f>
        <v>0</v>
      </c>
      <c r="G94" s="20">
        <f>+Raw_Financials!G94/FXs!$C$7</f>
        <v>0</v>
      </c>
      <c r="H94" s="20">
        <f>+Raw_Financials!H94/FXs!$C$8</f>
        <v>0</v>
      </c>
      <c r="I94" s="20">
        <f>+Raw_Financials!I94/FXs!$C$9</f>
        <v>0</v>
      </c>
      <c r="J94" s="20">
        <f>+Raw_Financials!J94/FXs!$C$10</f>
        <v>0</v>
      </c>
      <c r="K94" s="20">
        <f>+Raw_Financials!K94/FXs!$C$11</f>
        <v>0</v>
      </c>
      <c r="L94" s="20">
        <f t="shared" si="5"/>
        <v>0</v>
      </c>
      <c r="M94" s="20">
        <f t="shared" si="6"/>
        <v>0</v>
      </c>
      <c r="N94" s="21">
        <f t="shared" si="7"/>
        <v>0</v>
      </c>
      <c r="O94" s="21">
        <f t="shared" si="8"/>
        <v>0</v>
      </c>
      <c r="P94" s="21">
        <f t="shared" si="9"/>
        <v>0</v>
      </c>
    </row>
    <row r="95" spans="1:16" ht="16">
      <c r="A95" s="6" t="s">
        <v>93</v>
      </c>
      <c r="B95" s="20">
        <f>+Raw_Financials!B95/FXs!$C$2</f>
        <v>0</v>
      </c>
      <c r="C95" s="20">
        <f>+Raw_Financials!C95/FXs!$C$3</f>
        <v>1237.8460949184596</v>
      </c>
      <c r="D95" s="20">
        <f>+Raw_Financials!D95/FXs!$C$4</f>
        <v>841.94037756583793</v>
      </c>
      <c r="E95" s="20">
        <f>+Raw_Financials!E95/FXs!$C$5</f>
        <v>0</v>
      </c>
      <c r="F95" s="20">
        <f>+Raw_Financials!F95/FXs!$C$6</f>
        <v>0</v>
      </c>
      <c r="G95" s="20">
        <f>+Raw_Financials!G95/FXs!$C$7</f>
        <v>0</v>
      </c>
      <c r="H95" s="20">
        <f>+Raw_Financials!H95/FXs!$C$8</f>
        <v>53.927281994784252</v>
      </c>
      <c r="I95" s="20">
        <f>+Raw_Financials!I95/FXs!$C$9</f>
        <v>112.97808632061559</v>
      </c>
      <c r="J95" s="20">
        <f>+Raw_Financials!J95/FXs!$C$10</f>
        <v>96.864157245151162</v>
      </c>
      <c r="K95" s="20">
        <f>+Raw_Financials!K95/FXs!$C$11</f>
        <v>2.5847312113898235</v>
      </c>
      <c r="L95" s="20">
        <f t="shared" si="5"/>
        <v>0</v>
      </c>
      <c r="M95" s="20">
        <f t="shared" si="6"/>
        <v>108.94960405174947</v>
      </c>
      <c r="N95" s="21">
        <f t="shared" si="7"/>
        <v>108.94960405174947</v>
      </c>
      <c r="O95" s="21">
        <f t="shared" si="8"/>
        <v>-326.84881215524842</v>
      </c>
      <c r="P95" s="21">
        <f t="shared" si="9"/>
        <v>435.7984162069979</v>
      </c>
    </row>
    <row r="96" spans="1:16" ht="16">
      <c r="A96" s="5" t="s">
        <v>94</v>
      </c>
      <c r="B96" s="20">
        <f>+Raw_Financials!B96/FXs!$C$2</f>
        <v>0</v>
      </c>
      <c r="C96" s="20">
        <f>+Raw_Financials!C96/FXs!$C$3</f>
        <v>0</v>
      </c>
      <c r="D96" s="20">
        <f>+Raw_Financials!D96/FXs!$C$4</f>
        <v>0</v>
      </c>
      <c r="E96" s="20">
        <f>+Raw_Financials!E96/FXs!$C$5</f>
        <v>0</v>
      </c>
      <c r="F96" s="20">
        <f>+Raw_Financials!F96/FXs!$C$6</f>
        <v>0</v>
      </c>
      <c r="G96" s="20">
        <f>+Raw_Financials!G96/FXs!$C$7</f>
        <v>0</v>
      </c>
      <c r="H96" s="20">
        <f>+Raw_Financials!H96/FXs!$C$8</f>
        <v>0</v>
      </c>
      <c r="I96" s="20">
        <f>+Raw_Financials!I96/FXs!$C$9</f>
        <v>0</v>
      </c>
      <c r="J96" s="20">
        <f>+Raw_Financials!J96/FXs!$C$10</f>
        <v>0</v>
      </c>
      <c r="K96" s="20">
        <f>+Raw_Financials!K96/FXs!$C$11</f>
        <v>0</v>
      </c>
      <c r="L96" s="20">
        <f t="shared" si="5"/>
        <v>0</v>
      </c>
      <c r="M96" s="20">
        <f t="shared" si="6"/>
        <v>0</v>
      </c>
      <c r="N96" s="21">
        <f t="shared" si="7"/>
        <v>0</v>
      </c>
      <c r="O96" s="21">
        <f t="shared" si="8"/>
        <v>0</v>
      </c>
      <c r="P96" s="21">
        <f t="shared" si="9"/>
        <v>0</v>
      </c>
    </row>
    <row r="97" spans="1:16" ht="16">
      <c r="A97" s="6" t="s">
        <v>95</v>
      </c>
      <c r="B97" s="20">
        <f>+Raw_Financials!B97/FXs!$C$2</f>
        <v>0</v>
      </c>
      <c r="C97" s="20">
        <f>+Raw_Financials!C97/FXs!$C$3</f>
        <v>0</v>
      </c>
      <c r="D97" s="20">
        <f>+Raw_Financials!D97/FXs!$C$4</f>
        <v>0</v>
      </c>
      <c r="E97" s="20">
        <f>+Raw_Financials!E97/FXs!$C$5</f>
        <v>0</v>
      </c>
      <c r="F97" s="20">
        <f>+Raw_Financials!F97/FXs!$C$6</f>
        <v>0</v>
      </c>
      <c r="G97" s="20">
        <f>+Raw_Financials!G97/FXs!$C$7</f>
        <v>0</v>
      </c>
      <c r="H97" s="20">
        <f>+Raw_Financials!H97/FXs!$C$8</f>
        <v>0</v>
      </c>
      <c r="I97" s="20">
        <f>+Raw_Financials!I97/FXs!$C$9</f>
        <v>0</v>
      </c>
      <c r="J97" s="20">
        <f>+Raw_Financials!J97/FXs!$C$10</f>
        <v>0</v>
      </c>
      <c r="K97" s="20">
        <f>+Raw_Financials!K97/FXs!$C$11</f>
        <v>0</v>
      </c>
      <c r="L97" s="20">
        <f t="shared" si="5"/>
        <v>0</v>
      </c>
      <c r="M97" s="20">
        <f t="shared" si="6"/>
        <v>0</v>
      </c>
      <c r="N97" s="21">
        <f t="shared" si="7"/>
        <v>0</v>
      </c>
      <c r="O97" s="21">
        <f t="shared" si="8"/>
        <v>0</v>
      </c>
      <c r="P97" s="21">
        <f t="shared" si="9"/>
        <v>0</v>
      </c>
    </row>
    <row r="98" spans="1:16" ht="16">
      <c r="A98" s="5" t="s">
        <v>96</v>
      </c>
      <c r="B98" s="20">
        <f>+Raw_Financials!B98/FXs!$C$2</f>
        <v>0</v>
      </c>
      <c r="C98" s="20">
        <f>+Raw_Financials!C98/FXs!$C$3</f>
        <v>0</v>
      </c>
      <c r="D98" s="20">
        <f>+Raw_Financials!D98/FXs!$C$4</f>
        <v>0</v>
      </c>
      <c r="E98" s="20">
        <f>+Raw_Financials!E98/FXs!$C$5</f>
        <v>0</v>
      </c>
      <c r="F98" s="20">
        <f>+Raw_Financials!F98/FXs!$C$6</f>
        <v>0</v>
      </c>
      <c r="G98" s="20">
        <f>+Raw_Financials!G98/FXs!$C$7</f>
        <v>0</v>
      </c>
      <c r="H98" s="20">
        <f>+Raw_Financials!H98/FXs!$C$8</f>
        <v>0</v>
      </c>
      <c r="I98" s="20">
        <f>+Raw_Financials!I98/FXs!$C$9</f>
        <v>0</v>
      </c>
      <c r="J98" s="20">
        <f>+Raw_Financials!J98/FXs!$C$10</f>
        <v>0</v>
      </c>
      <c r="K98" s="20">
        <f>+Raw_Financials!K98/FXs!$C$11</f>
        <v>0</v>
      </c>
      <c r="L98" s="20">
        <f t="shared" si="5"/>
        <v>0</v>
      </c>
      <c r="M98" s="20">
        <f t="shared" si="6"/>
        <v>0</v>
      </c>
      <c r="N98" s="21">
        <f t="shared" si="7"/>
        <v>0</v>
      </c>
      <c r="O98" s="21">
        <f t="shared" si="8"/>
        <v>0</v>
      </c>
      <c r="P98" s="21">
        <f t="shared" si="9"/>
        <v>0</v>
      </c>
    </row>
    <row r="99" spans="1:16" ht="16">
      <c r="A99" s="6" t="s">
        <v>97</v>
      </c>
      <c r="B99" s="20">
        <f>+Raw_Financials!B99/FXs!$C$2</f>
        <v>0</v>
      </c>
      <c r="C99" s="20">
        <f>+Raw_Financials!C99/FXs!$C$3</f>
        <v>0</v>
      </c>
      <c r="D99" s="20">
        <f>+Raw_Financials!D99/FXs!$C$4</f>
        <v>0</v>
      </c>
      <c r="E99" s="20">
        <f>+Raw_Financials!E99/FXs!$C$5</f>
        <v>0</v>
      </c>
      <c r="F99" s="20">
        <f>+Raw_Financials!F99/FXs!$C$6</f>
        <v>0</v>
      </c>
      <c r="G99" s="20">
        <f>+Raw_Financials!G99/FXs!$C$7</f>
        <v>0</v>
      </c>
      <c r="H99" s="20">
        <f>+Raw_Financials!H99/FXs!$C$8</f>
        <v>0</v>
      </c>
      <c r="I99" s="20">
        <f>+Raw_Financials!I99/FXs!$C$9</f>
        <v>0</v>
      </c>
      <c r="J99" s="20">
        <f>+Raw_Financials!J99/FXs!$C$10</f>
        <v>0</v>
      </c>
      <c r="K99" s="20">
        <f>+Raw_Financials!K99/FXs!$C$11</f>
        <v>0</v>
      </c>
      <c r="L99" s="20">
        <f t="shared" si="5"/>
        <v>0</v>
      </c>
      <c r="M99" s="20">
        <f t="shared" si="6"/>
        <v>0</v>
      </c>
      <c r="N99" s="21">
        <f t="shared" si="7"/>
        <v>0</v>
      </c>
      <c r="O99" s="21">
        <f t="shared" si="8"/>
        <v>0</v>
      </c>
      <c r="P99" s="21">
        <f t="shared" si="9"/>
        <v>0</v>
      </c>
    </row>
    <row r="100" spans="1:16" ht="16">
      <c r="A100" s="7" t="s">
        <v>98</v>
      </c>
      <c r="B100" s="20">
        <f>+Raw_Financials!B100/FXs!$C$2</f>
        <v>0</v>
      </c>
      <c r="C100" s="20">
        <f>+Raw_Financials!C100/FXs!$C$3</f>
        <v>1237.8460949184596</v>
      </c>
      <c r="D100" s="20">
        <f>+Raw_Financials!D100/FXs!$C$4</f>
        <v>841.94037756583793</v>
      </c>
      <c r="E100" s="20">
        <f>+Raw_Financials!E100/FXs!$C$5</f>
        <v>0</v>
      </c>
      <c r="F100" s="20">
        <f>+Raw_Financials!F100/FXs!$C$6</f>
        <v>0</v>
      </c>
      <c r="G100" s="20">
        <f>+Raw_Financials!G100/FXs!$C$7</f>
        <v>0</v>
      </c>
      <c r="H100" s="20">
        <f>+Raw_Financials!H100/FXs!$C$8</f>
        <v>53.927281994784252</v>
      </c>
      <c r="I100" s="20">
        <f>+Raw_Financials!I100/FXs!$C$9</f>
        <v>112.97808632061559</v>
      </c>
      <c r="J100" s="20">
        <f>+Raw_Financials!J100/FXs!$C$10</f>
        <v>96.864157245151162</v>
      </c>
      <c r="K100" s="20">
        <f>+Raw_Financials!K100/FXs!$C$11</f>
        <v>2.5847312113898235</v>
      </c>
      <c r="L100" s="20">
        <f t="shared" si="5"/>
        <v>0</v>
      </c>
      <c r="M100" s="20">
        <f t="shared" si="6"/>
        <v>108.94960405174947</v>
      </c>
      <c r="N100" s="21">
        <f t="shared" si="7"/>
        <v>108.94960405174947</v>
      </c>
      <c r="O100" s="21">
        <f t="shared" si="8"/>
        <v>-326.84881215524842</v>
      </c>
      <c r="P100" s="21">
        <f t="shared" si="9"/>
        <v>435.7984162069979</v>
      </c>
    </row>
    <row r="101" spans="1:16" ht="16">
      <c r="A101" s="6" t="s">
        <v>99</v>
      </c>
      <c r="B101" s="20">
        <f>+Raw_Financials!B101/FXs!$C$2</f>
        <v>283457.85088320641</v>
      </c>
      <c r="C101" s="20">
        <f>+Raw_Financials!C101/FXs!$C$3</f>
        <v>281648.12883355434</v>
      </c>
      <c r="D101" s="20">
        <f>+Raw_Financials!D101/FXs!$C$4</f>
        <v>269726.21061659249</v>
      </c>
      <c r="E101" s="20">
        <f>+Raw_Financials!E101/FXs!$C$5</f>
        <v>221650.06513588113</v>
      </c>
      <c r="F101" s="20">
        <f>+Raw_Financials!F101/FXs!$C$6</f>
        <v>279724.0818420921</v>
      </c>
      <c r="G101" s="20">
        <f>+Raw_Financials!G101/FXs!$C$7</f>
        <v>253959.7961927985</v>
      </c>
      <c r="H101" s="20">
        <f>+Raw_Financials!H101/FXs!$C$8</f>
        <v>167018.6065098008</v>
      </c>
      <c r="I101" s="20">
        <f>+Raw_Financials!I101/FXs!$C$9</f>
        <v>172364.56089107523</v>
      </c>
      <c r="J101" s="20">
        <f>+Raw_Financials!J101/FXs!$C$10</f>
        <v>172340.17949253874</v>
      </c>
      <c r="K101" s="20">
        <f>+Raw_Financials!K101/FXs!$C$11</f>
        <v>318216.65222134185</v>
      </c>
      <c r="L101" s="20">
        <f t="shared" si="5"/>
        <v>184685.93695227671</v>
      </c>
      <c r="M101" s="20">
        <f t="shared" si="6"/>
        <v>281167.11708568875</v>
      </c>
      <c r="N101" s="21">
        <f t="shared" si="7"/>
        <v>96481.180133412039</v>
      </c>
      <c r="O101" s="21">
        <f t="shared" si="8"/>
        <v>-104757.60344795944</v>
      </c>
      <c r="P101" s="21">
        <f t="shared" si="9"/>
        <v>570610.65748592489</v>
      </c>
    </row>
    <row r="102" spans="1:16" ht="16">
      <c r="A102" s="5" t="s">
        <v>100</v>
      </c>
      <c r="B102" s="20">
        <f>+Raw_Financials!B102/FXs!$C$2</f>
        <v>0</v>
      </c>
      <c r="C102" s="20">
        <f>+Raw_Financials!C102/FXs!$C$3</f>
        <v>0</v>
      </c>
      <c r="D102" s="20">
        <f>+Raw_Financials!D102/FXs!$C$4</f>
        <v>0</v>
      </c>
      <c r="E102" s="20">
        <f>+Raw_Financials!E102/FXs!$C$5</f>
        <v>0</v>
      </c>
      <c r="F102" s="20">
        <f>+Raw_Financials!F102/FXs!$C$6</f>
        <v>0</v>
      </c>
      <c r="G102" s="20">
        <f>+Raw_Financials!G102/FXs!$C$7</f>
        <v>0</v>
      </c>
      <c r="H102" s="20">
        <f>+Raw_Financials!H102/FXs!$C$8</f>
        <v>0</v>
      </c>
      <c r="I102" s="20">
        <f>+Raw_Financials!I102/FXs!$C$9</f>
        <v>0</v>
      </c>
      <c r="J102" s="20">
        <f>+Raw_Financials!J102/FXs!$C$10</f>
        <v>0</v>
      </c>
      <c r="K102" s="20">
        <f>+Raw_Financials!K102/FXs!$C$11</f>
        <v>0</v>
      </c>
      <c r="L102" s="20">
        <f t="shared" si="5"/>
        <v>0</v>
      </c>
      <c r="M102" s="20">
        <f t="shared" si="6"/>
        <v>0</v>
      </c>
      <c r="N102" s="21">
        <f t="shared" si="7"/>
        <v>0</v>
      </c>
      <c r="O102" s="21">
        <f t="shared" si="8"/>
        <v>0</v>
      </c>
      <c r="P102" s="21">
        <f t="shared" si="9"/>
        <v>0</v>
      </c>
    </row>
    <row r="103" spans="1:16" ht="16">
      <c r="A103" s="6" t="s">
        <v>101</v>
      </c>
      <c r="B103" s="20">
        <f>+Raw_Financials!B103/FXs!$C$2</f>
        <v>0</v>
      </c>
      <c r="C103" s="20">
        <f>+Raw_Financials!C103/FXs!$C$3</f>
        <v>0</v>
      </c>
      <c r="D103" s="20">
        <f>+Raw_Financials!D103/FXs!$C$4</f>
        <v>0</v>
      </c>
      <c r="E103" s="20">
        <f>+Raw_Financials!E103/FXs!$C$5</f>
        <v>0</v>
      </c>
      <c r="F103" s="20">
        <f>+Raw_Financials!F103/FXs!$C$6</f>
        <v>0</v>
      </c>
      <c r="G103" s="20">
        <f>+Raw_Financials!G103/FXs!$C$7</f>
        <v>0</v>
      </c>
      <c r="H103" s="20">
        <f>+Raw_Financials!H103/FXs!$C$8</f>
        <v>0</v>
      </c>
      <c r="I103" s="20">
        <f>+Raw_Financials!I103/FXs!$C$9</f>
        <v>0</v>
      </c>
      <c r="J103" s="20">
        <f>+Raw_Financials!J103/FXs!$C$10</f>
        <v>0</v>
      </c>
      <c r="K103" s="20">
        <f>+Raw_Financials!K103/FXs!$C$11</f>
        <v>0</v>
      </c>
      <c r="L103" s="20">
        <f t="shared" si="5"/>
        <v>0</v>
      </c>
      <c r="M103" s="20">
        <f t="shared" si="6"/>
        <v>0</v>
      </c>
      <c r="N103" s="21">
        <f t="shared" si="7"/>
        <v>0</v>
      </c>
      <c r="O103" s="21">
        <f t="shared" si="8"/>
        <v>0</v>
      </c>
      <c r="P103" s="21">
        <f t="shared" si="9"/>
        <v>0</v>
      </c>
    </row>
    <row r="104" spans="1:16" ht="16">
      <c r="A104" s="5" t="s">
        <v>102</v>
      </c>
      <c r="B104" s="20">
        <f>+Raw_Financials!B104/FXs!$C$2</f>
        <v>0</v>
      </c>
      <c r="C104" s="20">
        <f>+Raw_Financials!C104/FXs!$C$3</f>
        <v>0</v>
      </c>
      <c r="D104" s="20">
        <f>+Raw_Financials!D104/FXs!$C$4</f>
        <v>0</v>
      </c>
      <c r="E104" s="20">
        <f>+Raw_Financials!E104/FXs!$C$5</f>
        <v>0</v>
      </c>
      <c r="F104" s="20">
        <f>+Raw_Financials!F104/FXs!$C$6</f>
        <v>0</v>
      </c>
      <c r="G104" s="20">
        <f>+Raw_Financials!G104/FXs!$C$7</f>
        <v>0</v>
      </c>
      <c r="H104" s="20">
        <f>+Raw_Financials!H104/FXs!$C$8</f>
        <v>0</v>
      </c>
      <c r="I104" s="20">
        <f>+Raw_Financials!I104/FXs!$C$9</f>
        <v>0</v>
      </c>
      <c r="J104" s="20">
        <f>+Raw_Financials!J104/FXs!$C$10</f>
        <v>0</v>
      </c>
      <c r="K104" s="20">
        <f>+Raw_Financials!K104/FXs!$C$11</f>
        <v>0</v>
      </c>
      <c r="L104" s="20">
        <f t="shared" si="5"/>
        <v>0</v>
      </c>
      <c r="M104" s="20">
        <f t="shared" si="6"/>
        <v>0</v>
      </c>
      <c r="N104" s="21">
        <f t="shared" si="7"/>
        <v>0</v>
      </c>
      <c r="O104" s="21">
        <f t="shared" si="8"/>
        <v>0</v>
      </c>
      <c r="P104" s="21">
        <f t="shared" si="9"/>
        <v>0</v>
      </c>
    </row>
    <row r="105" spans="1:16" ht="16">
      <c r="A105" s="6" t="s">
        <v>103</v>
      </c>
      <c r="B105" s="20">
        <f>+Raw_Financials!B105/FXs!$C$2</f>
        <v>0</v>
      </c>
      <c r="C105" s="20">
        <f>+Raw_Financials!C105/FXs!$C$3</f>
        <v>0</v>
      </c>
      <c r="D105" s="20">
        <f>+Raw_Financials!D105/FXs!$C$4</f>
        <v>0</v>
      </c>
      <c r="E105" s="20">
        <f>+Raw_Financials!E105/FXs!$C$5</f>
        <v>0</v>
      </c>
      <c r="F105" s="20">
        <f>+Raw_Financials!F105/FXs!$C$6</f>
        <v>0</v>
      </c>
      <c r="G105" s="20">
        <f>+Raw_Financials!G105/FXs!$C$7</f>
        <v>0</v>
      </c>
      <c r="H105" s="20">
        <f>+Raw_Financials!H105/FXs!$C$8</f>
        <v>0</v>
      </c>
      <c r="I105" s="20">
        <f>+Raw_Financials!I105/FXs!$C$9</f>
        <v>0</v>
      </c>
      <c r="J105" s="20">
        <f>+Raw_Financials!J105/FXs!$C$10</f>
        <v>0</v>
      </c>
      <c r="K105" s="20">
        <f>+Raw_Financials!K105/FXs!$C$11</f>
        <v>0</v>
      </c>
      <c r="L105" s="20">
        <f t="shared" si="5"/>
        <v>0</v>
      </c>
      <c r="M105" s="20">
        <f t="shared" si="6"/>
        <v>0</v>
      </c>
      <c r="N105" s="21">
        <f t="shared" si="7"/>
        <v>0</v>
      </c>
      <c r="O105" s="21">
        <f t="shared" si="8"/>
        <v>0</v>
      </c>
      <c r="P105" s="21">
        <f t="shared" si="9"/>
        <v>0</v>
      </c>
    </row>
    <row r="106" spans="1:16" ht="16">
      <c r="A106" s="5" t="s">
        <v>104</v>
      </c>
      <c r="B106" s="20">
        <f>+Raw_Financials!B106/FXs!$C$2</f>
        <v>0</v>
      </c>
      <c r="C106" s="20">
        <f>+Raw_Financials!C106/FXs!$C$3</f>
        <v>0</v>
      </c>
      <c r="D106" s="20">
        <f>+Raw_Financials!D106/FXs!$C$4</f>
        <v>0</v>
      </c>
      <c r="E106" s="20">
        <f>+Raw_Financials!E106/FXs!$C$5</f>
        <v>0</v>
      </c>
      <c r="F106" s="20">
        <f>+Raw_Financials!F106/FXs!$C$6</f>
        <v>0</v>
      </c>
      <c r="G106" s="20">
        <f>+Raw_Financials!G106/FXs!$C$7</f>
        <v>0</v>
      </c>
      <c r="H106" s="20">
        <f>+Raw_Financials!H106/FXs!$C$8</f>
        <v>0</v>
      </c>
      <c r="I106" s="20">
        <f>+Raw_Financials!I106/FXs!$C$9</f>
        <v>0</v>
      </c>
      <c r="J106" s="20">
        <f>+Raw_Financials!J106/FXs!$C$10</f>
        <v>0</v>
      </c>
      <c r="K106" s="20">
        <f>+Raw_Financials!K106/FXs!$C$11</f>
        <v>0</v>
      </c>
      <c r="L106" s="20">
        <f t="shared" si="5"/>
        <v>0</v>
      </c>
      <c r="M106" s="20">
        <f t="shared" si="6"/>
        <v>0</v>
      </c>
      <c r="N106" s="21">
        <f t="shared" si="7"/>
        <v>0</v>
      </c>
      <c r="O106" s="21">
        <f t="shared" si="8"/>
        <v>0</v>
      </c>
      <c r="P106" s="21">
        <f t="shared" si="9"/>
        <v>0</v>
      </c>
    </row>
    <row r="107" spans="1:16" ht="16">
      <c r="A107" s="6" t="s">
        <v>105</v>
      </c>
      <c r="B107" s="20">
        <f>+Raw_Financials!B107/FXs!$C$2</f>
        <v>110.09227022612225</v>
      </c>
      <c r="C107" s="20">
        <f>+Raw_Financials!C107/FXs!$C$3</f>
        <v>0</v>
      </c>
      <c r="D107" s="20">
        <f>+Raw_Financials!D107/FXs!$C$4</f>
        <v>0</v>
      </c>
      <c r="E107" s="20">
        <f>+Raw_Financials!E107/FXs!$C$5</f>
        <v>0</v>
      </c>
      <c r="F107" s="20">
        <f>+Raw_Financials!F107/FXs!$C$6</f>
        <v>0</v>
      </c>
      <c r="G107" s="20">
        <f>+Raw_Financials!G107/FXs!$C$7</f>
        <v>0</v>
      </c>
      <c r="H107" s="20">
        <f>+Raw_Financials!H107/FXs!$C$8</f>
        <v>0</v>
      </c>
      <c r="I107" s="20">
        <f>+Raw_Financials!I107/FXs!$C$9</f>
        <v>0</v>
      </c>
      <c r="J107" s="20">
        <f>+Raw_Financials!J107/FXs!$C$10</f>
        <v>0</v>
      </c>
      <c r="K107" s="20">
        <f>+Raw_Financials!K107/FXs!$C$11</f>
        <v>0</v>
      </c>
      <c r="L107" s="20">
        <f t="shared" si="5"/>
        <v>0</v>
      </c>
      <c r="M107" s="20">
        <f t="shared" si="6"/>
        <v>0</v>
      </c>
      <c r="N107" s="21">
        <f t="shared" si="7"/>
        <v>0</v>
      </c>
      <c r="O107" s="21">
        <f t="shared" si="8"/>
        <v>0</v>
      </c>
      <c r="P107" s="21">
        <f t="shared" si="9"/>
        <v>0</v>
      </c>
    </row>
    <row r="108" spans="1:16" ht="16">
      <c r="A108" s="7" t="s">
        <v>106</v>
      </c>
      <c r="B108" s="20">
        <f>+Raw_Financials!B108/FXs!$C$2</f>
        <v>283567.94315343251</v>
      </c>
      <c r="C108" s="20">
        <f>+Raw_Financials!C108/FXs!$C$3</f>
        <v>281648.12883355434</v>
      </c>
      <c r="D108" s="20">
        <f>+Raw_Financials!D108/FXs!$C$4</f>
        <v>269726.21061659249</v>
      </c>
      <c r="E108" s="20">
        <f>+Raw_Financials!E108/FXs!$C$5</f>
        <v>221650.06513588113</v>
      </c>
      <c r="F108" s="20">
        <f>+Raw_Financials!F108/FXs!$C$6</f>
        <v>279724.0818420921</v>
      </c>
      <c r="G108" s="20">
        <f>+Raw_Financials!G108/FXs!$C$7</f>
        <v>253959.7961927985</v>
      </c>
      <c r="H108" s="20">
        <f>+Raw_Financials!H108/FXs!$C$8</f>
        <v>167018.6065098008</v>
      </c>
      <c r="I108" s="20">
        <f>+Raw_Financials!I108/FXs!$C$9</f>
        <v>172364.56089107523</v>
      </c>
      <c r="J108" s="20">
        <f>+Raw_Financials!J108/FXs!$C$10</f>
        <v>172340.17949253874</v>
      </c>
      <c r="K108" s="20">
        <f>+Raw_Financials!K108/FXs!$C$11</f>
        <v>318216.65222134185</v>
      </c>
      <c r="L108" s="20">
        <f t="shared" si="5"/>
        <v>184685.93695227671</v>
      </c>
      <c r="M108" s="20">
        <f t="shared" si="6"/>
        <v>281167.11708568875</v>
      </c>
      <c r="N108" s="21">
        <f t="shared" si="7"/>
        <v>96481.180133412039</v>
      </c>
      <c r="O108" s="21">
        <f t="shared" si="8"/>
        <v>-104757.60344795944</v>
      </c>
      <c r="P108" s="21">
        <f t="shared" si="9"/>
        <v>570610.65748592489</v>
      </c>
    </row>
    <row r="109" spans="1:16" ht="16">
      <c r="A109" s="6" t="s">
        <v>107</v>
      </c>
      <c r="B109" s="20">
        <f>+Raw_Financials!B109/FXs!$C$2</f>
        <v>46.996560173123967</v>
      </c>
      <c r="C109" s="20">
        <f>+Raw_Financials!C109/FXs!$C$3</f>
        <v>0</v>
      </c>
      <c r="D109" s="20">
        <f>+Raw_Financials!D109/FXs!$C$4</f>
        <v>0</v>
      </c>
      <c r="E109" s="20">
        <f>+Raw_Financials!E109/FXs!$C$5</f>
        <v>0</v>
      </c>
      <c r="F109" s="20">
        <f>+Raw_Financials!F109/FXs!$C$6</f>
        <v>0</v>
      </c>
      <c r="G109" s="20">
        <f>+Raw_Financials!G109/FXs!$C$7</f>
        <v>0</v>
      </c>
      <c r="H109" s="20">
        <f>+Raw_Financials!H109/FXs!$C$8</f>
        <v>0</v>
      </c>
      <c r="I109" s="20">
        <f>+Raw_Financials!I109/FXs!$C$9</f>
        <v>0</v>
      </c>
      <c r="J109" s="20">
        <f>+Raw_Financials!J109/FXs!$C$10</f>
        <v>0</v>
      </c>
      <c r="K109" s="20">
        <f>+Raw_Financials!K109/FXs!$C$11</f>
        <v>0</v>
      </c>
      <c r="L109" s="20">
        <f t="shared" si="5"/>
        <v>0</v>
      </c>
      <c r="M109" s="20">
        <f t="shared" si="6"/>
        <v>0</v>
      </c>
      <c r="N109" s="21">
        <f t="shared" si="7"/>
        <v>0</v>
      </c>
      <c r="O109" s="21">
        <f t="shared" si="8"/>
        <v>0</v>
      </c>
      <c r="P109" s="21">
        <f t="shared" si="9"/>
        <v>0</v>
      </c>
    </row>
    <row r="110" spans="1:16" ht="16">
      <c r="A110" s="5" t="s">
        <v>108</v>
      </c>
      <c r="B110" s="20">
        <f>+Raw_Financials!B110/FXs!$C$2</f>
        <v>38519.735425447507</v>
      </c>
      <c r="C110" s="20">
        <f>+Raw_Financials!C110/FXs!$C$3</f>
        <v>16190.772860634293</v>
      </c>
      <c r="D110" s="20">
        <f>+Raw_Financials!D110/FXs!$C$4</f>
        <v>26344.552212945488</v>
      </c>
      <c r="E110" s="20">
        <f>+Raw_Financials!E110/FXs!$C$5</f>
        <v>37903.07222741744</v>
      </c>
      <c r="F110" s="20">
        <f>+Raw_Financials!F110/FXs!$C$6</f>
        <v>51557.339127509535</v>
      </c>
      <c r="G110" s="20">
        <f>+Raw_Financials!G110/FXs!$C$7</f>
        <v>37436.046045685311</v>
      </c>
      <c r="H110" s="20">
        <f>+Raw_Financials!H110/FXs!$C$8</f>
        <v>18583.682728951397</v>
      </c>
      <c r="I110" s="20">
        <f>+Raw_Financials!I110/FXs!$C$9</f>
        <v>2430.5437750434185</v>
      </c>
      <c r="J110" s="20">
        <f>+Raw_Financials!J110/FXs!$C$10</f>
        <v>10948.122637921397</v>
      </c>
      <c r="K110" s="20">
        <f>+Raw_Financials!K110/FXs!$C$11</f>
        <v>1223.4354194858215</v>
      </c>
      <c r="L110" s="20">
        <f t="shared" si="5"/>
        <v>12258.78519359962</v>
      </c>
      <c r="M110" s="20">
        <f t="shared" si="6"/>
        <v>37786.315681984408</v>
      </c>
      <c r="N110" s="21">
        <f t="shared" si="7"/>
        <v>25527.530488384786</v>
      </c>
      <c r="O110" s="21">
        <f t="shared" si="8"/>
        <v>-64323.806271554735</v>
      </c>
      <c r="P110" s="21">
        <f t="shared" si="9"/>
        <v>114368.90714713876</v>
      </c>
    </row>
    <row r="111" spans="1:16" ht="16">
      <c r="A111" s="7" t="s">
        <v>109</v>
      </c>
      <c r="B111" s="20">
        <f>+Raw_Financials!B111/FXs!$C$2</f>
        <v>38566.73198562063</v>
      </c>
      <c r="C111" s="20">
        <f>+Raw_Financials!C111/FXs!$C$3</f>
        <v>16190.772860634293</v>
      </c>
      <c r="D111" s="20">
        <f>+Raw_Financials!D111/FXs!$C$4</f>
        <v>26344.552212945488</v>
      </c>
      <c r="E111" s="20">
        <f>+Raw_Financials!E111/FXs!$C$5</f>
        <v>37903.07222741744</v>
      </c>
      <c r="F111" s="20">
        <f>+Raw_Financials!F111/FXs!$C$6</f>
        <v>51557.339127509535</v>
      </c>
      <c r="G111" s="20">
        <f>+Raw_Financials!G111/FXs!$C$7</f>
        <v>37436.046045685311</v>
      </c>
      <c r="H111" s="20">
        <f>+Raw_Financials!H111/FXs!$C$8</f>
        <v>18583.682728951397</v>
      </c>
      <c r="I111" s="20">
        <f>+Raw_Financials!I111/FXs!$C$9</f>
        <v>2430.5437750434185</v>
      </c>
      <c r="J111" s="20">
        <f>+Raw_Financials!J111/FXs!$C$10</f>
        <v>10948.122637921397</v>
      </c>
      <c r="K111" s="20">
        <f>+Raw_Financials!K111/FXs!$C$11</f>
        <v>1223.4354194858215</v>
      </c>
      <c r="L111" s="20">
        <f t="shared" si="5"/>
        <v>12258.78519359962</v>
      </c>
      <c r="M111" s="20">
        <f t="shared" si="6"/>
        <v>37786.315681984408</v>
      </c>
      <c r="N111" s="21">
        <f t="shared" si="7"/>
        <v>25527.530488384786</v>
      </c>
      <c r="O111" s="21">
        <f t="shared" si="8"/>
        <v>-64323.806271554735</v>
      </c>
      <c r="P111" s="21">
        <f t="shared" si="9"/>
        <v>114368.90714713876</v>
      </c>
    </row>
    <row r="112" spans="1:16" ht="16">
      <c r="A112" s="5" t="s">
        <v>110</v>
      </c>
      <c r="B112" s="20">
        <f>+Raw_Financials!B112/FXs!$C$2</f>
        <v>0</v>
      </c>
      <c r="C112" s="20">
        <f>+Raw_Financials!C112/FXs!$C$3</f>
        <v>217.97846173087675</v>
      </c>
      <c r="D112" s="20">
        <f>+Raw_Financials!D112/FXs!$C$4</f>
        <v>0</v>
      </c>
      <c r="E112" s="20">
        <f>+Raw_Financials!E112/FXs!$C$5</f>
        <v>30.07261151984325</v>
      </c>
      <c r="F112" s="20">
        <f>+Raw_Financials!F112/FXs!$C$6</f>
        <v>103.30978183851111</v>
      </c>
      <c r="G112" s="20">
        <f>+Raw_Financials!G112/FXs!$C$7</f>
        <v>0</v>
      </c>
      <c r="H112" s="20">
        <f>+Raw_Financials!H112/FXs!$C$8</f>
        <v>0</v>
      </c>
      <c r="I112" s="20">
        <f>+Raw_Financials!I112/FXs!$C$9</f>
        <v>0</v>
      </c>
      <c r="J112" s="20">
        <f>+Raw_Financials!J112/FXs!$C$10</f>
        <v>0</v>
      </c>
      <c r="K112" s="20">
        <f>+Raw_Financials!K112/FXs!$C$11</f>
        <v>0</v>
      </c>
      <c r="L112" s="20">
        <f t="shared" si="5"/>
        <v>0</v>
      </c>
      <c r="M112" s="20">
        <f t="shared" si="6"/>
        <v>22.554458639882437</v>
      </c>
      <c r="N112" s="21">
        <f t="shared" si="7"/>
        <v>22.554458639882437</v>
      </c>
      <c r="O112" s="21">
        <f t="shared" si="8"/>
        <v>-67.663375919647308</v>
      </c>
      <c r="P112" s="21">
        <f t="shared" si="9"/>
        <v>90.217834559529749</v>
      </c>
    </row>
    <row r="113" spans="1:16" ht="16">
      <c r="A113" s="6" t="s">
        <v>111</v>
      </c>
      <c r="B113" s="20">
        <f>+Raw_Financials!B113/FXs!$C$2</f>
        <v>0</v>
      </c>
      <c r="C113" s="20">
        <f>+Raw_Financials!C113/FXs!$C$3</f>
        <v>0</v>
      </c>
      <c r="D113" s="20">
        <f>+Raw_Financials!D113/FXs!$C$4</f>
        <v>0</v>
      </c>
      <c r="E113" s="20">
        <f>+Raw_Financials!E113/FXs!$C$5</f>
        <v>0</v>
      </c>
      <c r="F113" s="20">
        <f>+Raw_Financials!F113/FXs!$C$6</f>
        <v>0</v>
      </c>
      <c r="G113" s="20">
        <f>+Raw_Financials!G113/FXs!$C$7</f>
        <v>0</v>
      </c>
      <c r="H113" s="20">
        <f>+Raw_Financials!H113/FXs!$C$8</f>
        <v>0</v>
      </c>
      <c r="I113" s="20">
        <f>+Raw_Financials!I113/FXs!$C$9</f>
        <v>0</v>
      </c>
      <c r="J113" s="20">
        <f>+Raw_Financials!J113/FXs!$C$10</f>
        <v>0</v>
      </c>
      <c r="K113" s="20">
        <f>+Raw_Financials!K113/FXs!$C$11</f>
        <v>0</v>
      </c>
      <c r="L113" s="20">
        <f t="shared" si="5"/>
        <v>0</v>
      </c>
      <c r="M113" s="20">
        <f t="shared" si="6"/>
        <v>0</v>
      </c>
      <c r="N113" s="21">
        <f t="shared" si="7"/>
        <v>0</v>
      </c>
      <c r="O113" s="21">
        <f t="shared" si="8"/>
        <v>0</v>
      </c>
      <c r="P113" s="21">
        <f t="shared" si="9"/>
        <v>0</v>
      </c>
    </row>
    <row r="114" spans="1:16" ht="16">
      <c r="A114" s="5" t="s">
        <v>112</v>
      </c>
      <c r="B114" s="20">
        <f>+Raw_Financials!B114/FXs!$C$2</f>
        <v>0</v>
      </c>
      <c r="C114" s="20">
        <f>+Raw_Financials!C114/FXs!$C$3</f>
        <v>0</v>
      </c>
      <c r="D114" s="20">
        <f>+Raw_Financials!D114/FXs!$C$4</f>
        <v>0</v>
      </c>
      <c r="E114" s="20">
        <f>+Raw_Financials!E114/FXs!$C$5</f>
        <v>0</v>
      </c>
      <c r="F114" s="20">
        <f>+Raw_Financials!F114/FXs!$C$6</f>
        <v>0</v>
      </c>
      <c r="G114" s="20">
        <f>+Raw_Financials!G114/FXs!$C$7</f>
        <v>0</v>
      </c>
      <c r="H114" s="20">
        <f>+Raw_Financials!H114/FXs!$C$8</f>
        <v>0</v>
      </c>
      <c r="I114" s="20">
        <f>+Raw_Financials!I114/FXs!$C$9</f>
        <v>0</v>
      </c>
      <c r="J114" s="20">
        <f>+Raw_Financials!J114/FXs!$C$10</f>
        <v>0</v>
      </c>
      <c r="K114" s="20">
        <f>+Raw_Financials!K114/FXs!$C$11</f>
        <v>0</v>
      </c>
      <c r="L114" s="20">
        <f t="shared" si="5"/>
        <v>0</v>
      </c>
      <c r="M114" s="20">
        <f t="shared" si="6"/>
        <v>0</v>
      </c>
      <c r="N114" s="21">
        <f t="shared" si="7"/>
        <v>0</v>
      </c>
      <c r="O114" s="21">
        <f t="shared" si="8"/>
        <v>0</v>
      </c>
      <c r="P114" s="21">
        <f t="shared" si="9"/>
        <v>0</v>
      </c>
    </row>
    <row r="115" spans="1:16" ht="16">
      <c r="A115" s="6" t="s">
        <v>113</v>
      </c>
      <c r="B115" s="20">
        <f>+Raw_Financials!B115/FXs!$C$2</f>
        <v>1272.7155257211991</v>
      </c>
      <c r="C115" s="20">
        <f>+Raw_Financials!C115/FXs!$C$3</f>
        <v>957.77978122996149</v>
      </c>
      <c r="D115" s="20">
        <f>+Raw_Financials!D115/FXs!$C$4</f>
        <v>772.00257915045688</v>
      </c>
      <c r="E115" s="20">
        <f>+Raw_Financials!E115/FXs!$C$5</f>
        <v>405.83466901675223</v>
      </c>
      <c r="F115" s="20">
        <f>+Raw_Financials!F115/FXs!$C$6</f>
        <v>229.00400069143799</v>
      </c>
      <c r="G115" s="20">
        <f>+Raw_Financials!G115/FXs!$C$7</f>
        <v>115.42798498742859</v>
      </c>
      <c r="H115" s="20">
        <f>+Raw_Financials!H115/FXs!$C$8</f>
        <v>32.938843420361451</v>
      </c>
      <c r="I115" s="20">
        <f>+Raw_Financials!I115/FXs!$C$9</f>
        <v>0</v>
      </c>
      <c r="J115" s="20">
        <f>+Raw_Financials!J115/FXs!$C$10</f>
        <v>0</v>
      </c>
      <c r="K115" s="20">
        <f>+Raw_Financials!K115/FXs!$C$11</f>
        <v>0</v>
      </c>
      <c r="L115" s="20">
        <f t="shared" si="5"/>
        <v>8.2347108550903627</v>
      </c>
      <c r="M115" s="20">
        <f t="shared" si="6"/>
        <v>680.46060161703076</v>
      </c>
      <c r="N115" s="21">
        <f t="shared" si="7"/>
        <v>672.22589076194038</v>
      </c>
      <c r="O115" s="21">
        <f t="shared" si="8"/>
        <v>-2008.442961430731</v>
      </c>
      <c r="P115" s="21">
        <f t="shared" si="9"/>
        <v>2697.1382739028522</v>
      </c>
    </row>
    <row r="116" spans="1:16" ht="16">
      <c r="A116" s="5" t="s">
        <v>114</v>
      </c>
      <c r="B116" s="20">
        <f>+Raw_Financials!B116/FXs!$C$2</f>
        <v>1930.1072486750377</v>
      </c>
      <c r="C116" s="20">
        <f>+Raw_Financials!C116/FXs!$C$3</f>
        <v>0</v>
      </c>
      <c r="D116" s="20">
        <f>+Raw_Financials!D116/FXs!$C$4</f>
        <v>0</v>
      </c>
      <c r="E116" s="20">
        <f>+Raw_Financials!E116/FXs!$C$5</f>
        <v>0</v>
      </c>
      <c r="F116" s="20">
        <f>+Raw_Financials!F116/FXs!$C$6</f>
        <v>0</v>
      </c>
      <c r="G116" s="20">
        <f>+Raw_Financials!G116/FXs!$C$7</f>
        <v>0</v>
      </c>
      <c r="H116" s="20">
        <f>+Raw_Financials!H116/FXs!$C$8</f>
        <v>0</v>
      </c>
      <c r="I116" s="20">
        <f>+Raw_Financials!I116/FXs!$C$9</f>
        <v>0</v>
      </c>
      <c r="J116" s="20">
        <f>+Raw_Financials!J116/FXs!$C$10</f>
        <v>0</v>
      </c>
      <c r="K116" s="20">
        <f>+Raw_Financials!K116/FXs!$C$11</f>
        <v>0</v>
      </c>
      <c r="L116" s="20">
        <f t="shared" si="5"/>
        <v>0</v>
      </c>
      <c r="M116" s="20">
        <f t="shared" si="6"/>
        <v>0</v>
      </c>
      <c r="N116" s="21">
        <f t="shared" si="7"/>
        <v>0</v>
      </c>
      <c r="O116" s="21">
        <f t="shared" si="8"/>
        <v>0</v>
      </c>
      <c r="P116" s="21">
        <f t="shared" si="9"/>
        <v>0</v>
      </c>
    </row>
    <row r="117" spans="1:16" ht="16">
      <c r="A117" s="6" t="s">
        <v>115</v>
      </c>
      <c r="B117" s="20">
        <f>+Raw_Financials!B117/FXs!$C$2</f>
        <v>0</v>
      </c>
      <c r="C117" s="20">
        <f>+Raw_Financials!C117/FXs!$C$3</f>
        <v>0</v>
      </c>
      <c r="D117" s="20">
        <f>+Raw_Financials!D117/FXs!$C$4</f>
        <v>0</v>
      </c>
      <c r="E117" s="20">
        <f>+Raw_Financials!E117/FXs!$C$5</f>
        <v>0</v>
      </c>
      <c r="F117" s="20">
        <f>+Raw_Financials!F117/FXs!$C$6</f>
        <v>0</v>
      </c>
      <c r="G117" s="20">
        <f>+Raw_Financials!G117/FXs!$C$7</f>
        <v>0</v>
      </c>
      <c r="H117" s="20">
        <f>+Raw_Financials!H117/FXs!$C$8</f>
        <v>0</v>
      </c>
      <c r="I117" s="20">
        <f>+Raw_Financials!I117/FXs!$C$9</f>
        <v>0</v>
      </c>
      <c r="J117" s="20">
        <f>+Raw_Financials!J117/FXs!$C$10</f>
        <v>0</v>
      </c>
      <c r="K117" s="20">
        <f>+Raw_Financials!K117/FXs!$C$11</f>
        <v>0</v>
      </c>
      <c r="L117" s="20">
        <f t="shared" si="5"/>
        <v>0</v>
      </c>
      <c r="M117" s="20">
        <f t="shared" si="6"/>
        <v>0</v>
      </c>
      <c r="N117" s="21">
        <f t="shared" si="7"/>
        <v>0</v>
      </c>
      <c r="O117" s="21">
        <f t="shared" si="8"/>
        <v>0</v>
      </c>
      <c r="P117" s="21">
        <f t="shared" si="9"/>
        <v>0</v>
      </c>
    </row>
    <row r="118" spans="1:16" ht="16">
      <c r="A118" s="5" t="s">
        <v>116</v>
      </c>
      <c r="B118" s="20">
        <f>+Raw_Financials!B118/FXs!$C$2</f>
        <v>0</v>
      </c>
      <c r="C118" s="20">
        <f>+Raw_Financials!C118/FXs!$C$3</f>
        <v>0</v>
      </c>
      <c r="D118" s="20">
        <f>+Raw_Financials!D118/FXs!$C$4</f>
        <v>0</v>
      </c>
      <c r="E118" s="20">
        <f>+Raw_Financials!E118/FXs!$C$5</f>
        <v>0</v>
      </c>
      <c r="F118" s="20">
        <f>+Raw_Financials!F118/FXs!$C$6</f>
        <v>0</v>
      </c>
      <c r="G118" s="20">
        <f>+Raw_Financials!G118/FXs!$C$7</f>
        <v>0</v>
      </c>
      <c r="H118" s="20">
        <f>+Raw_Financials!H118/FXs!$C$8</f>
        <v>0</v>
      </c>
      <c r="I118" s="20">
        <f>+Raw_Financials!I118/FXs!$C$9</f>
        <v>0</v>
      </c>
      <c r="J118" s="20">
        <f>+Raw_Financials!J118/FXs!$C$10</f>
        <v>0</v>
      </c>
      <c r="K118" s="20">
        <f>+Raw_Financials!K118/FXs!$C$11</f>
        <v>0</v>
      </c>
      <c r="L118" s="20">
        <f t="shared" si="5"/>
        <v>0</v>
      </c>
      <c r="M118" s="20">
        <f t="shared" si="6"/>
        <v>0</v>
      </c>
      <c r="N118" s="21">
        <f t="shared" si="7"/>
        <v>0</v>
      </c>
      <c r="O118" s="21">
        <f t="shared" si="8"/>
        <v>0</v>
      </c>
      <c r="P118" s="21">
        <f t="shared" si="9"/>
        <v>0</v>
      </c>
    </row>
    <row r="119" spans="1:16" ht="16">
      <c r="A119" s="6" t="s">
        <v>117</v>
      </c>
      <c r="B119" s="20">
        <f>+Raw_Financials!B119/FXs!$C$2</f>
        <v>0</v>
      </c>
      <c r="C119" s="20">
        <f>+Raw_Financials!C119/FXs!$C$3</f>
        <v>0</v>
      </c>
      <c r="D119" s="20">
        <f>+Raw_Financials!D119/FXs!$C$4</f>
        <v>0</v>
      </c>
      <c r="E119" s="20">
        <f>+Raw_Financials!E119/FXs!$C$5</f>
        <v>0</v>
      </c>
      <c r="F119" s="20">
        <f>+Raw_Financials!F119/FXs!$C$6</f>
        <v>0</v>
      </c>
      <c r="G119" s="20">
        <f>+Raw_Financials!G119/FXs!$C$7</f>
        <v>0</v>
      </c>
      <c r="H119" s="20">
        <f>+Raw_Financials!H119/FXs!$C$8</f>
        <v>0</v>
      </c>
      <c r="I119" s="20">
        <f>+Raw_Financials!I119/FXs!$C$9</f>
        <v>0</v>
      </c>
      <c r="J119" s="20">
        <f>+Raw_Financials!J119/FXs!$C$10</f>
        <v>0</v>
      </c>
      <c r="K119" s="20">
        <f>+Raw_Financials!K119/FXs!$C$11</f>
        <v>0</v>
      </c>
      <c r="L119" s="20">
        <f t="shared" si="5"/>
        <v>0</v>
      </c>
      <c r="M119" s="20">
        <f t="shared" si="6"/>
        <v>0</v>
      </c>
      <c r="N119" s="21">
        <f t="shared" si="7"/>
        <v>0</v>
      </c>
      <c r="O119" s="21">
        <f t="shared" si="8"/>
        <v>0</v>
      </c>
      <c r="P119" s="21">
        <f t="shared" si="9"/>
        <v>0</v>
      </c>
    </row>
    <row r="120" spans="1:16" ht="16">
      <c r="A120" s="5" t="s">
        <v>118</v>
      </c>
      <c r="B120" s="20">
        <f>+Raw_Financials!B120/FXs!$C$2</f>
        <v>0</v>
      </c>
      <c r="C120" s="20">
        <f>+Raw_Financials!C120/FXs!$C$3</f>
        <v>0</v>
      </c>
      <c r="D120" s="20">
        <f>+Raw_Financials!D120/FXs!$C$4</f>
        <v>0</v>
      </c>
      <c r="E120" s="20">
        <f>+Raw_Financials!E120/FXs!$C$5</f>
        <v>0</v>
      </c>
      <c r="F120" s="20">
        <f>+Raw_Financials!F120/FXs!$C$6</f>
        <v>0</v>
      </c>
      <c r="G120" s="20">
        <f>+Raw_Financials!G120/FXs!$C$7</f>
        <v>0</v>
      </c>
      <c r="H120" s="20">
        <f>+Raw_Financials!H120/FXs!$C$8</f>
        <v>0</v>
      </c>
      <c r="I120" s="20">
        <f>+Raw_Financials!I120/FXs!$C$9</f>
        <v>0</v>
      </c>
      <c r="J120" s="20">
        <f>+Raw_Financials!J120/FXs!$C$10</f>
        <v>0</v>
      </c>
      <c r="K120" s="20">
        <f>+Raw_Financials!K120/FXs!$C$11</f>
        <v>0</v>
      </c>
      <c r="L120" s="20">
        <f t="shared" si="5"/>
        <v>0</v>
      </c>
      <c r="M120" s="20">
        <f t="shared" si="6"/>
        <v>0</v>
      </c>
      <c r="N120" s="21">
        <f t="shared" si="7"/>
        <v>0</v>
      </c>
      <c r="O120" s="21">
        <f t="shared" si="8"/>
        <v>0</v>
      </c>
      <c r="P120" s="21">
        <f t="shared" si="9"/>
        <v>0</v>
      </c>
    </row>
    <row r="121" spans="1:16" ht="16">
      <c r="A121" s="6" t="s">
        <v>119</v>
      </c>
      <c r="B121" s="20">
        <f>+Raw_Financials!B121/FXs!$C$2</f>
        <v>0</v>
      </c>
      <c r="C121" s="20">
        <f>+Raw_Financials!C121/FXs!$C$3</f>
        <v>0</v>
      </c>
      <c r="D121" s="20">
        <f>+Raw_Financials!D121/FXs!$C$4</f>
        <v>0</v>
      </c>
      <c r="E121" s="20">
        <f>+Raw_Financials!E121/FXs!$C$5</f>
        <v>0</v>
      </c>
      <c r="F121" s="20">
        <f>+Raw_Financials!F121/FXs!$C$6</f>
        <v>0</v>
      </c>
      <c r="G121" s="20">
        <f>+Raw_Financials!G121/FXs!$C$7</f>
        <v>0</v>
      </c>
      <c r="H121" s="20">
        <f>+Raw_Financials!H121/FXs!$C$8</f>
        <v>0</v>
      </c>
      <c r="I121" s="20">
        <f>+Raw_Financials!I121/FXs!$C$9</f>
        <v>0</v>
      </c>
      <c r="J121" s="20">
        <f>+Raw_Financials!J121/FXs!$C$10</f>
        <v>0</v>
      </c>
      <c r="K121" s="20">
        <f>+Raw_Financials!K121/FXs!$C$11</f>
        <v>0</v>
      </c>
      <c r="L121" s="20">
        <f t="shared" si="5"/>
        <v>0</v>
      </c>
      <c r="M121" s="20">
        <f t="shared" si="6"/>
        <v>0</v>
      </c>
      <c r="N121" s="21">
        <f t="shared" si="7"/>
        <v>0</v>
      </c>
      <c r="O121" s="21">
        <f t="shared" si="8"/>
        <v>0</v>
      </c>
      <c r="P121" s="21">
        <f t="shared" si="9"/>
        <v>0</v>
      </c>
    </row>
    <row r="122" spans="1:16" ht="16">
      <c r="A122" s="7" t="s">
        <v>120</v>
      </c>
      <c r="B122" s="20">
        <f>+Raw_Financials!B122/FXs!$C$2</f>
        <v>3202.822774396237</v>
      </c>
      <c r="C122" s="20">
        <f>+Raw_Financials!C122/FXs!$C$3</f>
        <v>1175.7582429608383</v>
      </c>
      <c r="D122" s="20">
        <f>+Raw_Financials!D122/FXs!$C$4</f>
        <v>772.00257915045688</v>
      </c>
      <c r="E122" s="20">
        <f>+Raw_Financials!E122/FXs!$C$5</f>
        <v>435.90728053659552</v>
      </c>
      <c r="F122" s="20">
        <f>+Raw_Financials!F122/FXs!$C$6</f>
        <v>332.31378252994915</v>
      </c>
      <c r="G122" s="20">
        <f>+Raw_Financials!G122/FXs!$C$7</f>
        <v>115.42798498742859</v>
      </c>
      <c r="H122" s="20">
        <f>+Raw_Financials!H122/FXs!$C$8</f>
        <v>32.938843420361451</v>
      </c>
      <c r="I122" s="20">
        <f>+Raw_Financials!I122/FXs!$C$9</f>
        <v>0</v>
      </c>
      <c r="J122" s="20">
        <f>+Raw_Financials!J122/FXs!$C$10</f>
        <v>0</v>
      </c>
      <c r="K122" s="20">
        <f>+Raw_Financials!K122/FXs!$C$11</f>
        <v>0</v>
      </c>
      <c r="L122" s="20">
        <f t="shared" si="5"/>
        <v>8.2347108550903627</v>
      </c>
      <c r="M122" s="20">
        <f t="shared" si="6"/>
        <v>687.97875449699154</v>
      </c>
      <c r="N122" s="21">
        <f t="shared" si="7"/>
        <v>679.74404364190116</v>
      </c>
      <c r="O122" s="21">
        <f t="shared" si="8"/>
        <v>-2030.9974200706133</v>
      </c>
      <c r="P122" s="21">
        <f t="shared" si="9"/>
        <v>2727.2108854226954</v>
      </c>
    </row>
    <row r="123" spans="1:16" ht="16">
      <c r="A123" s="6" t="s">
        <v>121</v>
      </c>
      <c r="B123" s="20">
        <f>+Raw_Financials!B123/FXs!$C$2</f>
        <v>24214.309187974279</v>
      </c>
      <c r="C123" s="20">
        <f>+Raw_Financials!C123/FXs!$C$3</f>
        <v>56061.830101463405</v>
      </c>
      <c r="D123" s="20">
        <f>+Raw_Financials!D123/FXs!$C$4</f>
        <v>74688.365865611166</v>
      </c>
      <c r="E123" s="20">
        <f>+Raw_Financials!E123/FXs!$C$5</f>
        <v>74847.399581436141</v>
      </c>
      <c r="F123" s="20">
        <f>+Raw_Financials!F123/FXs!$C$6</f>
        <v>60216.098523839581</v>
      </c>
      <c r="G123" s="20">
        <f>+Raw_Financials!G123/FXs!$C$7</f>
        <v>0</v>
      </c>
      <c r="H123" s="20">
        <f>+Raw_Financials!H123/FXs!$C$8</f>
        <v>61242.647985539952</v>
      </c>
      <c r="I123" s="20">
        <f>+Raw_Financials!I123/FXs!$C$9</f>
        <v>87628.123580382278</v>
      </c>
      <c r="J123" s="20">
        <f>+Raw_Financials!J123/FXs!$C$10</f>
        <v>13412.258582731485</v>
      </c>
      <c r="K123" s="20">
        <f>+Raw_Financials!K123/FXs!$C$11</f>
        <v>0</v>
      </c>
      <c r="L123" s="20">
        <f t="shared" si="5"/>
        <v>16112.771234042184</v>
      </c>
      <c r="M123" s="20">
        <f t="shared" si="6"/>
        <v>71326.936395593366</v>
      </c>
      <c r="N123" s="21">
        <f t="shared" si="7"/>
        <v>55214.16516155118</v>
      </c>
      <c r="O123" s="21">
        <f t="shared" si="8"/>
        <v>-149529.72425061135</v>
      </c>
      <c r="P123" s="21">
        <f t="shared" si="9"/>
        <v>236969.43188024691</v>
      </c>
    </row>
    <row r="124" spans="1:16" ht="16">
      <c r="A124" s="5" t="s">
        <v>122</v>
      </c>
      <c r="B124" s="20">
        <f>+Raw_Financials!B124/FXs!$C$2</f>
        <v>0</v>
      </c>
      <c r="C124" s="20">
        <f>+Raw_Financials!C124/FXs!$C$3</f>
        <v>0</v>
      </c>
      <c r="D124" s="20">
        <f>+Raw_Financials!D124/FXs!$C$4</f>
        <v>0</v>
      </c>
      <c r="E124" s="20">
        <f>+Raw_Financials!E124/FXs!$C$5</f>
        <v>0</v>
      </c>
      <c r="F124" s="20">
        <f>+Raw_Financials!F124/FXs!$C$6</f>
        <v>0</v>
      </c>
      <c r="G124" s="20">
        <f>+Raw_Financials!G124/FXs!$C$7</f>
        <v>0</v>
      </c>
      <c r="H124" s="20">
        <f>+Raw_Financials!H124/FXs!$C$8</f>
        <v>0</v>
      </c>
      <c r="I124" s="20">
        <f>+Raw_Financials!I124/FXs!$C$9</f>
        <v>0</v>
      </c>
      <c r="J124" s="20">
        <f>+Raw_Financials!J124/FXs!$C$10</f>
        <v>0</v>
      </c>
      <c r="K124" s="20">
        <f>+Raw_Financials!K124/FXs!$C$11</f>
        <v>0</v>
      </c>
      <c r="L124" s="20">
        <f t="shared" si="5"/>
        <v>0</v>
      </c>
      <c r="M124" s="20">
        <f t="shared" si="6"/>
        <v>0</v>
      </c>
      <c r="N124" s="21">
        <f t="shared" si="7"/>
        <v>0</v>
      </c>
      <c r="O124" s="21">
        <f t="shared" si="8"/>
        <v>0</v>
      </c>
      <c r="P124" s="21">
        <f t="shared" si="9"/>
        <v>0</v>
      </c>
    </row>
    <row r="125" spans="1:16" ht="16">
      <c r="A125" s="6" t="s">
        <v>123</v>
      </c>
      <c r="B125" s="20">
        <f>+Raw_Financials!B125/FXs!$C$2</f>
        <v>0</v>
      </c>
      <c r="C125" s="20">
        <f>+Raw_Financials!C125/FXs!$C$3</f>
        <v>0</v>
      </c>
      <c r="D125" s="20">
        <f>+Raw_Financials!D125/FXs!$C$4</f>
        <v>0</v>
      </c>
      <c r="E125" s="20">
        <f>+Raw_Financials!E125/FXs!$C$5</f>
        <v>0</v>
      </c>
      <c r="F125" s="20">
        <f>+Raw_Financials!F125/FXs!$C$6</f>
        <v>0</v>
      </c>
      <c r="G125" s="20">
        <f>+Raw_Financials!G125/FXs!$C$7</f>
        <v>0</v>
      </c>
      <c r="H125" s="20">
        <f>+Raw_Financials!H125/FXs!$C$8</f>
        <v>0</v>
      </c>
      <c r="I125" s="20">
        <f>+Raw_Financials!I125/FXs!$C$9</f>
        <v>0</v>
      </c>
      <c r="J125" s="20">
        <f>+Raw_Financials!J125/FXs!$C$10</f>
        <v>0</v>
      </c>
      <c r="K125" s="20">
        <f>+Raw_Financials!K125/FXs!$C$11</f>
        <v>0</v>
      </c>
      <c r="L125" s="20">
        <f t="shared" si="5"/>
        <v>0</v>
      </c>
      <c r="M125" s="20">
        <f t="shared" si="6"/>
        <v>0</v>
      </c>
      <c r="N125" s="21">
        <f t="shared" si="7"/>
        <v>0</v>
      </c>
      <c r="O125" s="21">
        <f t="shared" si="8"/>
        <v>0</v>
      </c>
      <c r="P125" s="21">
        <f t="shared" si="9"/>
        <v>0</v>
      </c>
    </row>
    <row r="126" spans="1:16" ht="16">
      <c r="A126" s="5" t="s">
        <v>124</v>
      </c>
      <c r="B126" s="20">
        <f>+Raw_Financials!B126/FXs!$C$2</f>
        <v>0</v>
      </c>
      <c r="C126" s="20">
        <f>+Raw_Financials!C126/FXs!$C$3</f>
        <v>0</v>
      </c>
      <c r="D126" s="20">
        <f>+Raw_Financials!D126/FXs!$C$4</f>
        <v>0</v>
      </c>
      <c r="E126" s="20">
        <f>+Raw_Financials!E126/FXs!$C$5</f>
        <v>0</v>
      </c>
      <c r="F126" s="20">
        <f>+Raw_Financials!F126/FXs!$C$6</f>
        <v>0</v>
      </c>
      <c r="G126" s="20">
        <f>+Raw_Financials!G126/FXs!$C$7</f>
        <v>0</v>
      </c>
      <c r="H126" s="20">
        <f>+Raw_Financials!H126/FXs!$C$8</f>
        <v>0</v>
      </c>
      <c r="I126" s="20">
        <f>+Raw_Financials!I126/FXs!$C$9</f>
        <v>0</v>
      </c>
      <c r="J126" s="20">
        <f>+Raw_Financials!J126/FXs!$C$10</f>
        <v>0</v>
      </c>
      <c r="K126" s="20">
        <f>+Raw_Financials!K126/FXs!$C$11</f>
        <v>0</v>
      </c>
      <c r="L126" s="20">
        <f t="shared" si="5"/>
        <v>0</v>
      </c>
      <c r="M126" s="20">
        <f t="shared" si="6"/>
        <v>0</v>
      </c>
      <c r="N126" s="21">
        <f t="shared" si="7"/>
        <v>0</v>
      </c>
      <c r="O126" s="21">
        <f t="shared" si="8"/>
        <v>0</v>
      </c>
      <c r="P126" s="21">
        <f t="shared" si="9"/>
        <v>0</v>
      </c>
    </row>
    <row r="127" spans="1:16" ht="16">
      <c r="A127" s="6" t="s">
        <v>125</v>
      </c>
      <c r="B127" s="20">
        <f>+Raw_Financials!B127/FXs!$C$2</f>
        <v>0</v>
      </c>
      <c r="C127" s="20">
        <f>+Raw_Financials!C127/FXs!$C$3</f>
        <v>0</v>
      </c>
      <c r="D127" s="20">
        <f>+Raw_Financials!D127/FXs!$C$4</f>
        <v>0</v>
      </c>
      <c r="E127" s="20">
        <f>+Raw_Financials!E127/FXs!$C$5</f>
        <v>0</v>
      </c>
      <c r="F127" s="20">
        <f>+Raw_Financials!F127/FXs!$C$6</f>
        <v>0</v>
      </c>
      <c r="G127" s="20">
        <f>+Raw_Financials!G127/FXs!$C$7</f>
        <v>0</v>
      </c>
      <c r="H127" s="20">
        <f>+Raw_Financials!H127/FXs!$C$8</f>
        <v>0</v>
      </c>
      <c r="I127" s="20">
        <f>+Raw_Financials!I127/FXs!$C$9</f>
        <v>0</v>
      </c>
      <c r="J127" s="20">
        <f>+Raw_Financials!J127/FXs!$C$10</f>
        <v>0</v>
      </c>
      <c r="K127" s="20">
        <f>+Raw_Financials!K127/FXs!$C$11</f>
        <v>0</v>
      </c>
      <c r="L127" s="20">
        <f t="shared" si="5"/>
        <v>0</v>
      </c>
      <c r="M127" s="20">
        <f t="shared" si="6"/>
        <v>0</v>
      </c>
      <c r="N127" s="21">
        <f t="shared" si="7"/>
        <v>0</v>
      </c>
      <c r="O127" s="21">
        <f t="shared" si="8"/>
        <v>0</v>
      </c>
      <c r="P127" s="21">
        <f t="shared" si="9"/>
        <v>0</v>
      </c>
    </row>
    <row r="128" spans="1:16" ht="16">
      <c r="A128" s="5" t="s">
        <v>126</v>
      </c>
      <c r="B128" s="20">
        <f>+Raw_Financials!B128/FXs!$C$2</f>
        <v>0</v>
      </c>
      <c r="C128" s="20">
        <f>+Raw_Financials!C128/FXs!$C$3</f>
        <v>0</v>
      </c>
      <c r="D128" s="20">
        <f>+Raw_Financials!D128/FXs!$C$4</f>
        <v>0</v>
      </c>
      <c r="E128" s="20">
        <f>+Raw_Financials!E128/FXs!$C$5</f>
        <v>0</v>
      </c>
      <c r="F128" s="20">
        <f>+Raw_Financials!F128/FXs!$C$6</f>
        <v>0</v>
      </c>
      <c r="G128" s="20">
        <f>+Raw_Financials!G128/FXs!$C$7</f>
        <v>0</v>
      </c>
      <c r="H128" s="20">
        <f>+Raw_Financials!H128/FXs!$C$8</f>
        <v>0</v>
      </c>
      <c r="I128" s="20">
        <f>+Raw_Financials!I128/FXs!$C$9</f>
        <v>0</v>
      </c>
      <c r="J128" s="20">
        <f>+Raw_Financials!J128/FXs!$C$10</f>
        <v>0</v>
      </c>
      <c r="K128" s="20">
        <f>+Raw_Financials!K128/FXs!$C$11</f>
        <v>0</v>
      </c>
      <c r="L128" s="20">
        <f t="shared" si="5"/>
        <v>0</v>
      </c>
      <c r="M128" s="20">
        <f t="shared" si="6"/>
        <v>0</v>
      </c>
      <c r="N128" s="21">
        <f t="shared" si="7"/>
        <v>0</v>
      </c>
      <c r="O128" s="21">
        <f t="shared" si="8"/>
        <v>0</v>
      </c>
      <c r="P128" s="21">
        <f t="shared" si="9"/>
        <v>0</v>
      </c>
    </row>
    <row r="129" spans="1:16" ht="16">
      <c r="A129" s="6" t="s">
        <v>127</v>
      </c>
      <c r="B129" s="20">
        <f>+Raw_Financials!B129/FXs!$C$2</f>
        <v>0</v>
      </c>
      <c r="C129" s="20">
        <f>+Raw_Financials!C129/FXs!$C$3</f>
        <v>0</v>
      </c>
      <c r="D129" s="20">
        <f>+Raw_Financials!D129/FXs!$C$4</f>
        <v>0</v>
      </c>
      <c r="E129" s="20">
        <f>+Raw_Financials!E129/FXs!$C$5</f>
        <v>0</v>
      </c>
      <c r="F129" s="20">
        <f>+Raw_Financials!F129/FXs!$C$6</f>
        <v>0</v>
      </c>
      <c r="G129" s="20">
        <f>+Raw_Financials!G129/FXs!$C$7</f>
        <v>0</v>
      </c>
      <c r="H129" s="20">
        <f>+Raw_Financials!H129/FXs!$C$8</f>
        <v>0</v>
      </c>
      <c r="I129" s="20">
        <f>+Raw_Financials!I129/FXs!$C$9</f>
        <v>0</v>
      </c>
      <c r="J129" s="20">
        <f>+Raw_Financials!J129/FXs!$C$10</f>
        <v>0</v>
      </c>
      <c r="K129" s="20">
        <f>+Raw_Financials!K129/FXs!$C$11</f>
        <v>0</v>
      </c>
      <c r="L129" s="20">
        <f t="shared" si="5"/>
        <v>0</v>
      </c>
      <c r="M129" s="20">
        <f t="shared" si="6"/>
        <v>0</v>
      </c>
      <c r="N129" s="21">
        <f t="shared" si="7"/>
        <v>0</v>
      </c>
      <c r="O129" s="21">
        <f t="shared" si="8"/>
        <v>0</v>
      </c>
      <c r="P129" s="21">
        <f t="shared" si="9"/>
        <v>0</v>
      </c>
    </row>
    <row r="130" spans="1:16" ht="16">
      <c r="A130" s="5" t="s">
        <v>128</v>
      </c>
      <c r="B130" s="20">
        <f>+Raw_Financials!B130/FXs!$C$2</f>
        <v>22823.186668733309</v>
      </c>
      <c r="C130" s="20">
        <f>+Raw_Financials!C130/FXs!$C$3</f>
        <v>0</v>
      </c>
      <c r="D130" s="20">
        <f>+Raw_Financials!D130/FXs!$C$4</f>
        <v>0</v>
      </c>
      <c r="E130" s="20">
        <f>+Raw_Financials!E130/FXs!$C$5</f>
        <v>0</v>
      </c>
      <c r="F130" s="20">
        <f>+Raw_Financials!F130/FXs!$C$6</f>
        <v>0</v>
      </c>
      <c r="G130" s="20">
        <f>+Raw_Financials!G130/FXs!$C$7</f>
        <v>66515.919182135869</v>
      </c>
      <c r="H130" s="20">
        <f>+Raw_Financials!H130/FXs!$C$8</f>
        <v>3695.9024333178618</v>
      </c>
      <c r="I130" s="20">
        <f>+Raw_Financials!I130/FXs!$C$9</f>
        <v>3268.0311199661405</v>
      </c>
      <c r="J130" s="20">
        <f>+Raw_Financials!J130/FXs!$C$10</f>
        <v>69986.960374670511</v>
      </c>
      <c r="K130" s="20">
        <f>+Raw_Financials!K130/FXs!$C$11</f>
        <v>16025.207507226549</v>
      </c>
      <c r="L130" s="20">
        <f t="shared" si="5"/>
        <v>0</v>
      </c>
      <c r="M130" s="20">
        <f t="shared" si="6"/>
        <v>21123.691878356622</v>
      </c>
      <c r="N130" s="21">
        <f t="shared" si="7"/>
        <v>21123.691878356622</v>
      </c>
      <c r="O130" s="21">
        <f t="shared" si="8"/>
        <v>-63371.075635069865</v>
      </c>
      <c r="P130" s="21">
        <f t="shared" si="9"/>
        <v>84494.767513426486</v>
      </c>
    </row>
    <row r="131" spans="1:16" ht="16">
      <c r="A131" s="6" t="s">
        <v>129</v>
      </c>
      <c r="B131" s="20">
        <f>+Raw_Financials!B131/FXs!$C$2</f>
        <v>0</v>
      </c>
      <c r="C131" s="20">
        <f>+Raw_Financials!C131/FXs!$C$3</f>
        <v>0</v>
      </c>
      <c r="D131" s="20">
        <f>+Raw_Financials!D131/FXs!$C$4</f>
        <v>0</v>
      </c>
      <c r="E131" s="20">
        <f>+Raw_Financials!E131/FXs!$C$5</f>
        <v>0</v>
      </c>
      <c r="F131" s="20">
        <f>+Raw_Financials!F131/FXs!$C$6</f>
        <v>0</v>
      </c>
      <c r="G131" s="20">
        <f>+Raw_Financials!G131/FXs!$C$7</f>
        <v>0</v>
      </c>
      <c r="H131" s="20">
        <f>+Raw_Financials!H131/FXs!$C$8</f>
        <v>0</v>
      </c>
      <c r="I131" s="20">
        <f>+Raw_Financials!I131/FXs!$C$9</f>
        <v>0</v>
      </c>
      <c r="J131" s="20">
        <f>+Raw_Financials!J131/FXs!$C$10</f>
        <v>0</v>
      </c>
      <c r="K131" s="20">
        <f>+Raw_Financials!K131/FXs!$C$11</f>
        <v>0</v>
      </c>
      <c r="L131" s="20">
        <f t="shared" si="5"/>
        <v>0</v>
      </c>
      <c r="M131" s="20">
        <f t="shared" si="6"/>
        <v>0</v>
      </c>
      <c r="N131" s="21">
        <f t="shared" si="7"/>
        <v>0</v>
      </c>
      <c r="O131" s="21">
        <f t="shared" si="8"/>
        <v>0</v>
      </c>
      <c r="P131" s="21">
        <f t="shared" si="9"/>
        <v>0</v>
      </c>
    </row>
    <row r="132" spans="1:16" ht="16">
      <c r="A132" s="5" t="s">
        <v>130</v>
      </c>
      <c r="B132" s="20">
        <f>+Raw_Financials!B132/FXs!$C$2</f>
        <v>211.1585271340933</v>
      </c>
      <c r="C132" s="20">
        <f>+Raw_Financials!C132/FXs!$C$3</f>
        <v>107.47286219780936</v>
      </c>
      <c r="D132" s="20">
        <f>+Raw_Financials!D132/FXs!$C$4</f>
        <v>0</v>
      </c>
      <c r="E132" s="20">
        <f>+Raw_Financials!E132/FXs!$C$5</f>
        <v>0</v>
      </c>
      <c r="F132" s="20">
        <f>+Raw_Financials!F132/FXs!$C$6</f>
        <v>0</v>
      </c>
      <c r="G132" s="20">
        <f>+Raw_Financials!G132/FXs!$C$7</f>
        <v>0</v>
      </c>
      <c r="H132" s="20">
        <f>+Raw_Financials!H132/FXs!$C$8</f>
        <v>0</v>
      </c>
      <c r="I132" s="20">
        <f>+Raw_Financials!I132/FXs!$C$9</f>
        <v>0</v>
      </c>
      <c r="J132" s="20">
        <f>+Raw_Financials!J132/FXs!$C$10</f>
        <v>0</v>
      </c>
      <c r="K132" s="20">
        <f>+Raw_Financials!K132/FXs!$C$11</f>
        <v>0</v>
      </c>
      <c r="L132" s="20">
        <f t="shared" ref="L132:L195" si="10">QUARTILE(B132:K132, 1)</f>
        <v>0</v>
      </c>
      <c r="M132" s="20">
        <f t="shared" ref="M132:M195" si="11">QUARTILE(B132:K132, 3)</f>
        <v>0</v>
      </c>
      <c r="N132" s="21">
        <f t="shared" ref="N132:N195" si="12">M132 - L132</f>
        <v>0</v>
      </c>
      <c r="O132" s="21">
        <f t="shared" ref="O132:O195" si="13">L132 - (3 * N132)</f>
        <v>0</v>
      </c>
      <c r="P132" s="21">
        <f t="shared" ref="P132:P195" si="14">M132 + (3 * N132)</f>
        <v>0</v>
      </c>
    </row>
    <row r="133" spans="1:16" ht="16">
      <c r="A133" s="6" t="s">
        <v>131</v>
      </c>
      <c r="B133" s="20">
        <f>+Raw_Financials!B133/FXs!$C$2</f>
        <v>0</v>
      </c>
      <c r="C133" s="20">
        <f>+Raw_Financials!C133/FXs!$C$3</f>
        <v>0</v>
      </c>
      <c r="D133" s="20">
        <f>+Raw_Financials!D133/FXs!$C$4</f>
        <v>0</v>
      </c>
      <c r="E133" s="20">
        <f>+Raw_Financials!E133/FXs!$C$5</f>
        <v>0</v>
      </c>
      <c r="F133" s="20">
        <f>+Raw_Financials!F133/FXs!$C$6</f>
        <v>0</v>
      </c>
      <c r="G133" s="20">
        <f>+Raw_Financials!G133/FXs!$C$7</f>
        <v>0</v>
      </c>
      <c r="H133" s="20">
        <f>+Raw_Financials!H133/FXs!$C$8</f>
        <v>0</v>
      </c>
      <c r="I133" s="20">
        <f>+Raw_Financials!I133/FXs!$C$9</f>
        <v>0</v>
      </c>
      <c r="J133" s="20">
        <f>+Raw_Financials!J133/FXs!$C$10</f>
        <v>0</v>
      </c>
      <c r="K133" s="20">
        <f>+Raw_Financials!K133/FXs!$C$11</f>
        <v>0</v>
      </c>
      <c r="L133" s="20">
        <f t="shared" si="10"/>
        <v>0</v>
      </c>
      <c r="M133" s="20">
        <f t="shared" si="11"/>
        <v>0</v>
      </c>
      <c r="N133" s="21">
        <f t="shared" si="12"/>
        <v>0</v>
      </c>
      <c r="O133" s="21">
        <f t="shared" si="13"/>
        <v>0</v>
      </c>
      <c r="P133" s="21">
        <f t="shared" si="14"/>
        <v>0</v>
      </c>
    </row>
    <row r="134" spans="1:16" ht="16">
      <c r="A134" s="5" t="s">
        <v>132</v>
      </c>
      <c r="B134" s="20">
        <f>+Raw_Financials!B134/FXs!$C$2</f>
        <v>0</v>
      </c>
      <c r="C134" s="20">
        <f>+Raw_Financials!C134/FXs!$C$3</f>
        <v>0</v>
      </c>
      <c r="D134" s="20">
        <f>+Raw_Financials!D134/FXs!$C$4</f>
        <v>0</v>
      </c>
      <c r="E134" s="20">
        <f>+Raw_Financials!E134/FXs!$C$5</f>
        <v>0</v>
      </c>
      <c r="F134" s="20">
        <f>+Raw_Financials!F134/FXs!$C$6</f>
        <v>0</v>
      </c>
      <c r="G134" s="20">
        <f>+Raw_Financials!G134/FXs!$C$7</f>
        <v>0</v>
      </c>
      <c r="H134" s="20">
        <f>+Raw_Financials!H134/FXs!$C$8</f>
        <v>0</v>
      </c>
      <c r="I134" s="20">
        <f>+Raw_Financials!I134/FXs!$C$9</f>
        <v>0</v>
      </c>
      <c r="J134" s="20">
        <f>+Raw_Financials!J134/FXs!$C$10</f>
        <v>0</v>
      </c>
      <c r="K134" s="20">
        <f>+Raw_Financials!K134/FXs!$C$11</f>
        <v>0</v>
      </c>
      <c r="L134" s="20">
        <f t="shared" si="10"/>
        <v>0</v>
      </c>
      <c r="M134" s="20">
        <f t="shared" si="11"/>
        <v>0</v>
      </c>
      <c r="N134" s="21">
        <f t="shared" si="12"/>
        <v>0</v>
      </c>
      <c r="O134" s="21">
        <f t="shared" si="13"/>
        <v>0</v>
      </c>
      <c r="P134" s="21">
        <f t="shared" si="14"/>
        <v>0</v>
      </c>
    </row>
    <row r="135" spans="1:16" ht="16">
      <c r="A135" s="7" t="s">
        <v>133</v>
      </c>
      <c r="B135" s="20">
        <f>+Raw_Financials!B135/FXs!$C$2</f>
        <v>47248.654383841684</v>
      </c>
      <c r="C135" s="20">
        <f>+Raw_Financials!C135/FXs!$C$3</f>
        <v>56169.302963661212</v>
      </c>
      <c r="D135" s="20">
        <f>+Raw_Financials!D135/FXs!$C$4</f>
        <v>74688.365865611166</v>
      </c>
      <c r="E135" s="20">
        <f>+Raw_Financials!E135/FXs!$C$5</f>
        <v>74847.399581436141</v>
      </c>
      <c r="F135" s="20">
        <f>+Raw_Financials!F135/FXs!$C$6</f>
        <v>60216.098523839581</v>
      </c>
      <c r="G135" s="20">
        <f>+Raw_Financials!G135/FXs!$C$7</f>
        <v>66515.919182135869</v>
      </c>
      <c r="H135" s="20">
        <f>+Raw_Financials!H135/FXs!$C$8</f>
        <v>64938.550418857812</v>
      </c>
      <c r="I135" s="20">
        <f>+Raw_Financials!I135/FXs!$C$9</f>
        <v>90896.154700348416</v>
      </c>
      <c r="J135" s="20">
        <f>+Raw_Financials!J135/FXs!$C$10</f>
        <v>83399.218957402001</v>
      </c>
      <c r="K135" s="20">
        <f>+Raw_Financials!K135/FXs!$C$11</f>
        <v>16025.207507226549</v>
      </c>
      <c r="L135" s="20">
        <f t="shared" si="10"/>
        <v>57181.001853705806</v>
      </c>
      <c r="M135" s="20">
        <f t="shared" si="11"/>
        <v>74807.64115247989</v>
      </c>
      <c r="N135" s="21">
        <f t="shared" si="12"/>
        <v>17626.639298774084</v>
      </c>
      <c r="O135" s="21">
        <f t="shared" si="13"/>
        <v>4301.0839573835547</v>
      </c>
      <c r="P135" s="21">
        <f t="shared" si="14"/>
        <v>127687.55904880214</v>
      </c>
    </row>
    <row r="136" spans="1:16" ht="16">
      <c r="A136" s="5" t="s">
        <v>134</v>
      </c>
      <c r="B136" s="20">
        <f>+Raw_Financials!B136/FXs!$C$2</f>
        <v>9.1713564364108802</v>
      </c>
      <c r="C136" s="20">
        <f>+Raw_Financials!C136/FXs!$C$3</f>
        <v>0</v>
      </c>
      <c r="D136" s="20">
        <f>+Raw_Financials!D136/FXs!$C$4</f>
        <v>0</v>
      </c>
      <c r="E136" s="20">
        <f>+Raw_Financials!E136/FXs!$C$5</f>
        <v>0</v>
      </c>
      <c r="F136" s="20">
        <f>+Raw_Financials!F136/FXs!$C$6</f>
        <v>0</v>
      </c>
      <c r="G136" s="20">
        <f>+Raw_Financials!G136/FXs!$C$7</f>
        <v>0</v>
      </c>
      <c r="H136" s="20">
        <f>+Raw_Financials!H136/FXs!$C$8</f>
        <v>0</v>
      </c>
      <c r="I136" s="20">
        <f>+Raw_Financials!I136/FXs!$C$9</f>
        <v>0</v>
      </c>
      <c r="J136" s="20">
        <f>+Raw_Financials!J136/FXs!$C$10</f>
        <v>0</v>
      </c>
      <c r="K136" s="20">
        <f>+Raw_Financials!K136/FXs!$C$11</f>
        <v>0</v>
      </c>
      <c r="L136" s="20">
        <f t="shared" si="10"/>
        <v>0</v>
      </c>
      <c r="M136" s="20">
        <f t="shared" si="11"/>
        <v>0</v>
      </c>
      <c r="N136" s="21">
        <f t="shared" si="12"/>
        <v>0</v>
      </c>
      <c r="O136" s="21">
        <f t="shared" si="13"/>
        <v>0</v>
      </c>
      <c r="P136" s="21">
        <f t="shared" si="14"/>
        <v>0</v>
      </c>
    </row>
    <row r="137" spans="1:16" ht="16">
      <c r="A137" s="6" t="s">
        <v>135</v>
      </c>
      <c r="B137" s="20">
        <f>+Raw_Financials!B137/FXs!$C$2</f>
        <v>0</v>
      </c>
      <c r="C137" s="20">
        <f>+Raw_Financials!C137/FXs!$C$3</f>
        <v>0</v>
      </c>
      <c r="D137" s="20">
        <f>+Raw_Financials!D137/FXs!$C$4</f>
        <v>0</v>
      </c>
      <c r="E137" s="20">
        <f>+Raw_Financials!E137/FXs!$C$5</f>
        <v>0</v>
      </c>
      <c r="F137" s="20">
        <f>+Raw_Financials!F137/FXs!$C$6</f>
        <v>0</v>
      </c>
      <c r="G137" s="20">
        <f>+Raw_Financials!G137/FXs!$C$7</f>
        <v>0</v>
      </c>
      <c r="H137" s="20">
        <f>+Raw_Financials!H137/FXs!$C$8</f>
        <v>0</v>
      </c>
      <c r="I137" s="20">
        <f>+Raw_Financials!I137/FXs!$C$9</f>
        <v>0</v>
      </c>
      <c r="J137" s="20">
        <f>+Raw_Financials!J137/FXs!$C$10</f>
        <v>0</v>
      </c>
      <c r="K137" s="20">
        <f>+Raw_Financials!K137/FXs!$C$11</f>
        <v>0</v>
      </c>
      <c r="L137" s="20">
        <f t="shared" si="10"/>
        <v>0</v>
      </c>
      <c r="M137" s="20">
        <f t="shared" si="11"/>
        <v>0</v>
      </c>
      <c r="N137" s="21">
        <f t="shared" si="12"/>
        <v>0</v>
      </c>
      <c r="O137" s="21">
        <f t="shared" si="13"/>
        <v>0</v>
      </c>
      <c r="P137" s="21">
        <f t="shared" si="14"/>
        <v>0</v>
      </c>
    </row>
    <row r="138" spans="1:16" ht="16">
      <c r="A138" s="7" t="s">
        <v>136</v>
      </c>
      <c r="B138" s="20">
        <f>+Raw_Financials!B138/FXs!$C$2</f>
        <v>9.1713564364108802</v>
      </c>
      <c r="C138" s="20">
        <f>+Raw_Financials!C138/FXs!$C$3</f>
        <v>0</v>
      </c>
      <c r="D138" s="20">
        <f>+Raw_Financials!D138/FXs!$C$4</f>
        <v>0</v>
      </c>
      <c r="E138" s="20">
        <f>+Raw_Financials!E138/FXs!$C$5</f>
        <v>0</v>
      </c>
      <c r="F138" s="20">
        <f>+Raw_Financials!F138/FXs!$C$6</f>
        <v>0</v>
      </c>
      <c r="G138" s="20">
        <f>+Raw_Financials!G138/FXs!$C$7</f>
        <v>0</v>
      </c>
      <c r="H138" s="20">
        <f>+Raw_Financials!H138/FXs!$C$8</f>
        <v>0</v>
      </c>
      <c r="I138" s="20">
        <f>+Raw_Financials!I138/FXs!$C$9</f>
        <v>0</v>
      </c>
      <c r="J138" s="20">
        <f>+Raw_Financials!J138/FXs!$C$10</f>
        <v>0</v>
      </c>
      <c r="K138" s="20">
        <f>+Raw_Financials!K138/FXs!$C$11</f>
        <v>0</v>
      </c>
      <c r="L138" s="20">
        <f t="shared" si="10"/>
        <v>0</v>
      </c>
      <c r="M138" s="20">
        <f t="shared" si="11"/>
        <v>0</v>
      </c>
      <c r="N138" s="21">
        <f t="shared" si="12"/>
        <v>0</v>
      </c>
      <c r="O138" s="21">
        <f t="shared" si="13"/>
        <v>0</v>
      </c>
      <c r="P138" s="21">
        <f t="shared" si="14"/>
        <v>0</v>
      </c>
    </row>
    <row r="139" spans="1:16" ht="16">
      <c r="A139" s="6" t="s">
        <v>137</v>
      </c>
      <c r="B139" s="20">
        <f>+Raw_Financials!B139/FXs!$C$2</f>
        <v>9878.5086383173912</v>
      </c>
      <c r="C139" s="20">
        <f>+Raw_Financials!C139/FXs!$C$3</f>
        <v>10024.02694758996</v>
      </c>
      <c r="D139" s="20">
        <f>+Raw_Financials!D139/FXs!$C$4</f>
        <v>8101.0209797305697</v>
      </c>
      <c r="E139" s="20">
        <f>+Raw_Financials!E139/FXs!$C$5</f>
        <v>11354.752388525048</v>
      </c>
      <c r="F139" s="20">
        <f>+Raw_Financials!F139/FXs!$C$6</f>
        <v>11988.130404787691</v>
      </c>
      <c r="G139" s="20">
        <f>+Raw_Financials!G139/FXs!$C$7</f>
        <v>9060.2890961767553</v>
      </c>
      <c r="H139" s="20">
        <f>+Raw_Financials!H139/FXs!$C$8</f>
        <v>5538.199510598206</v>
      </c>
      <c r="I139" s="20">
        <f>+Raw_Financials!I139/FXs!$C$9</f>
        <v>17580.669870953141</v>
      </c>
      <c r="J139" s="20">
        <f>+Raw_Financials!J139/FXs!$C$10</f>
        <v>10272.424432354564</v>
      </c>
      <c r="K139" s="20">
        <f>+Raw_Financials!K139/FXs!$C$11</f>
        <v>27742.902247878072</v>
      </c>
      <c r="L139" s="20">
        <f t="shared" si="10"/>
        <v>9264.8439817119142</v>
      </c>
      <c r="M139" s="20">
        <f t="shared" si="11"/>
        <v>11829.78590072203</v>
      </c>
      <c r="N139" s="21">
        <f t="shared" si="12"/>
        <v>2564.9419190101162</v>
      </c>
      <c r="O139" s="21">
        <f t="shared" si="13"/>
        <v>1570.0182246815657</v>
      </c>
      <c r="P139" s="21">
        <f t="shared" si="14"/>
        <v>19524.611657752379</v>
      </c>
    </row>
    <row r="140" spans="1:16" ht="16">
      <c r="A140" s="7" t="s">
        <v>138</v>
      </c>
      <c r="B140" s="20">
        <f>+Raw_Financials!B140/FXs!$C$2</f>
        <v>9878.5086383173912</v>
      </c>
      <c r="C140" s="20">
        <f>+Raw_Financials!C140/FXs!$C$3</f>
        <v>10024.02694758996</v>
      </c>
      <c r="D140" s="20">
        <f>+Raw_Financials!D140/FXs!$C$4</f>
        <v>8101.0209797305697</v>
      </c>
      <c r="E140" s="20">
        <f>+Raw_Financials!E140/FXs!$C$5</f>
        <v>11354.752388525048</v>
      </c>
      <c r="F140" s="20">
        <f>+Raw_Financials!F140/FXs!$C$6</f>
        <v>11988.130404787691</v>
      </c>
      <c r="G140" s="20">
        <f>+Raw_Financials!G140/FXs!$C$7</f>
        <v>9060.2890961767553</v>
      </c>
      <c r="H140" s="20">
        <f>+Raw_Financials!H140/FXs!$C$8</f>
        <v>5538.199510598206</v>
      </c>
      <c r="I140" s="20">
        <f>+Raw_Financials!I140/FXs!$C$9</f>
        <v>17580.669870953141</v>
      </c>
      <c r="J140" s="20">
        <f>+Raw_Financials!J140/FXs!$C$10</f>
        <v>10272.424432354564</v>
      </c>
      <c r="K140" s="20">
        <f>+Raw_Financials!K140/FXs!$C$11</f>
        <v>27742.902247878072</v>
      </c>
      <c r="L140" s="20">
        <f t="shared" si="10"/>
        <v>9264.8439817119142</v>
      </c>
      <c r="M140" s="20">
        <f t="shared" si="11"/>
        <v>11829.78590072203</v>
      </c>
      <c r="N140" s="21">
        <f t="shared" si="12"/>
        <v>2564.9419190101162</v>
      </c>
      <c r="O140" s="21">
        <f t="shared" si="13"/>
        <v>1570.0182246815657</v>
      </c>
      <c r="P140" s="21">
        <f t="shared" si="14"/>
        <v>19524.611657752379</v>
      </c>
    </row>
    <row r="141" spans="1:16" ht="16">
      <c r="A141" s="6" t="s">
        <v>139</v>
      </c>
      <c r="B141" s="20">
        <f>+Raw_Financials!B141/FXs!$C$2</f>
        <v>0</v>
      </c>
      <c r="C141" s="20">
        <f>+Raw_Financials!C141/FXs!$C$3</f>
        <v>0</v>
      </c>
      <c r="D141" s="20">
        <f>+Raw_Financials!D141/FXs!$C$4</f>
        <v>0</v>
      </c>
      <c r="E141" s="20">
        <f>+Raw_Financials!E141/FXs!$C$5</f>
        <v>0</v>
      </c>
      <c r="F141" s="20">
        <f>+Raw_Financials!F141/FXs!$C$6</f>
        <v>0</v>
      </c>
      <c r="G141" s="20">
        <f>+Raw_Financials!G141/FXs!$C$7</f>
        <v>0</v>
      </c>
      <c r="H141" s="20">
        <f>+Raw_Financials!H141/FXs!$C$8</f>
        <v>0</v>
      </c>
      <c r="I141" s="20">
        <f>+Raw_Financials!I141/FXs!$C$9</f>
        <v>0</v>
      </c>
      <c r="J141" s="20">
        <f>+Raw_Financials!J141/FXs!$C$10</f>
        <v>0</v>
      </c>
      <c r="K141" s="20">
        <f>+Raw_Financials!K141/FXs!$C$11</f>
        <v>0</v>
      </c>
      <c r="L141" s="20">
        <f t="shared" si="10"/>
        <v>0</v>
      </c>
      <c r="M141" s="20">
        <f t="shared" si="11"/>
        <v>0</v>
      </c>
      <c r="N141" s="21">
        <f t="shared" si="12"/>
        <v>0</v>
      </c>
      <c r="O141" s="21">
        <f t="shared" si="13"/>
        <v>0</v>
      </c>
      <c r="P141" s="21">
        <f t="shared" si="14"/>
        <v>0</v>
      </c>
    </row>
    <row r="142" spans="1:16" ht="16">
      <c r="A142" s="5" t="s">
        <v>140</v>
      </c>
      <c r="B142" s="20">
        <f>+Raw_Financials!B142/FXs!$C$2</f>
        <v>3.0350659647909524</v>
      </c>
      <c r="C142" s="20">
        <f>+Raw_Financials!C142/FXs!$C$3</f>
        <v>0.77674304683387352</v>
      </c>
      <c r="D142" s="20">
        <f>+Raw_Financials!D142/FXs!$C$4</f>
        <v>63.495776084195512</v>
      </c>
      <c r="E142" s="20">
        <f>+Raw_Financials!E142/FXs!$C$5</f>
        <v>3.1593684206747694</v>
      </c>
      <c r="F142" s="20">
        <f>+Raw_Financials!F142/FXs!$C$6</f>
        <v>16.692398374806626</v>
      </c>
      <c r="G142" s="20">
        <f>+Raw_Financials!G142/FXs!$C$7</f>
        <v>184.96087777931081</v>
      </c>
      <c r="H142" s="20">
        <f>+Raw_Financials!H142/FXs!$C$8</f>
        <v>31.994466430600067</v>
      </c>
      <c r="I142" s="20">
        <f>+Raw_Financials!I142/FXs!$C$9</f>
        <v>777.70761094823786</v>
      </c>
      <c r="J142" s="20">
        <f>+Raw_Financials!J142/FXs!$C$10</f>
        <v>550.64973424616267</v>
      </c>
      <c r="K142" s="20">
        <f>+Raw_Financials!K142/FXs!$C$11</f>
        <v>3706.3702451971303</v>
      </c>
      <c r="L142" s="20">
        <f t="shared" si="10"/>
        <v>6.5426259092077332</v>
      </c>
      <c r="M142" s="20">
        <f t="shared" si="11"/>
        <v>459.22752012944972</v>
      </c>
      <c r="N142" s="21">
        <f t="shared" si="12"/>
        <v>452.68489422024197</v>
      </c>
      <c r="O142" s="21">
        <f t="shared" si="13"/>
        <v>-1351.5120567515182</v>
      </c>
      <c r="P142" s="21">
        <f t="shared" si="14"/>
        <v>1817.2822027901757</v>
      </c>
    </row>
    <row r="143" spans="1:16" ht="16">
      <c r="A143" s="6" t="s">
        <v>141</v>
      </c>
      <c r="B143" s="20">
        <f>+Raw_Financials!B143/FXs!$C$2</f>
        <v>3053.5457938130762</v>
      </c>
      <c r="C143" s="20">
        <f>+Raw_Financials!C143/FXs!$C$3</f>
        <v>3526.991833905679</v>
      </c>
      <c r="D143" s="20">
        <f>+Raw_Financials!D143/FXs!$C$4</f>
        <v>7375.6033157676457</v>
      </c>
      <c r="E143" s="20">
        <f>+Raw_Financials!E143/FXs!$C$5</f>
        <v>6043.0926889506036</v>
      </c>
      <c r="F143" s="20">
        <f>+Raw_Financials!F143/FXs!$C$6</f>
        <v>4957.3024532071486</v>
      </c>
      <c r="G143" s="20">
        <f>+Raw_Financials!G143/FXs!$C$7</f>
        <v>5234.6871658281016</v>
      </c>
      <c r="H143" s="20">
        <f>+Raw_Financials!H143/FXs!$C$8</f>
        <v>3919.5241188164891</v>
      </c>
      <c r="I143" s="20">
        <f>+Raw_Financials!I143/FXs!$C$9</f>
        <v>40896.642713785543</v>
      </c>
      <c r="J143" s="20">
        <f>+Raw_Financials!J143/FXs!$C$10</f>
        <v>28954.141703876267</v>
      </c>
      <c r="K143" s="20">
        <f>+Raw_Financials!K143/FXs!$C$11</f>
        <v>10042.992274485094</v>
      </c>
      <c r="L143" s="20">
        <f t="shared" si="10"/>
        <v>4178.968702414154</v>
      </c>
      <c r="M143" s="20">
        <f t="shared" si="11"/>
        <v>9376.1450348057315</v>
      </c>
      <c r="N143" s="21">
        <f t="shared" si="12"/>
        <v>5197.1763323915775</v>
      </c>
      <c r="O143" s="21">
        <f t="shared" si="13"/>
        <v>-11412.56029476058</v>
      </c>
      <c r="P143" s="21">
        <f t="shared" si="14"/>
        <v>24967.674031980467</v>
      </c>
    </row>
    <row r="144" spans="1:16" ht="16">
      <c r="A144" s="5" t="s">
        <v>142</v>
      </c>
      <c r="B144" s="20">
        <f>+Raw_Financials!B144/FXs!$C$2</f>
        <v>0</v>
      </c>
      <c r="C144" s="20">
        <f>+Raw_Financials!C144/FXs!$C$3</f>
        <v>4958.6378985986448</v>
      </c>
      <c r="D144" s="20">
        <f>+Raw_Financials!D144/FXs!$C$4</f>
        <v>5837.1518580031052</v>
      </c>
      <c r="E144" s="20">
        <f>+Raw_Financials!E144/FXs!$C$5</f>
        <v>4968.1424607327117</v>
      </c>
      <c r="F144" s="20">
        <f>+Raw_Financials!F144/FXs!$C$6</f>
        <v>6353.28640683712</v>
      </c>
      <c r="G144" s="20">
        <f>+Raw_Financials!G144/FXs!$C$7</f>
        <v>7311.7839845256804</v>
      </c>
      <c r="H144" s="20">
        <f>+Raw_Financials!H144/FXs!$C$8</f>
        <v>5013.0148793817816</v>
      </c>
      <c r="I144" s="20">
        <f>+Raw_Financials!I144/FXs!$C$9</f>
        <v>13015.290235707116</v>
      </c>
      <c r="J144" s="20">
        <f>+Raw_Financials!J144/FXs!$C$10</f>
        <v>15664.68623589721</v>
      </c>
      <c r="K144" s="20">
        <f>+Raw_Financials!K144/FXs!$C$11</f>
        <v>6798.5068814420802</v>
      </c>
      <c r="L144" s="20">
        <f t="shared" si="10"/>
        <v>4979.3605653949789</v>
      </c>
      <c r="M144" s="20">
        <f t="shared" si="11"/>
        <v>7183.4647087547801</v>
      </c>
      <c r="N144" s="21">
        <f t="shared" si="12"/>
        <v>2204.1041433598011</v>
      </c>
      <c r="O144" s="21">
        <f t="shared" si="13"/>
        <v>-1632.9518646844244</v>
      </c>
      <c r="P144" s="21">
        <f t="shared" si="14"/>
        <v>13795.777138834183</v>
      </c>
    </row>
    <row r="145" spans="1:16" ht="16">
      <c r="A145" s="6" t="s">
        <v>143</v>
      </c>
      <c r="B145" s="20">
        <f>+Raw_Financials!B145/FXs!$C$2</f>
        <v>0</v>
      </c>
      <c r="C145" s="20">
        <f>+Raw_Financials!C145/FXs!$C$3</f>
        <v>0</v>
      </c>
      <c r="D145" s="20">
        <f>+Raw_Financials!D145/FXs!$C$4</f>
        <v>0</v>
      </c>
      <c r="E145" s="20">
        <f>+Raw_Financials!E145/FXs!$C$5</f>
        <v>0</v>
      </c>
      <c r="F145" s="20">
        <f>+Raw_Financials!F145/FXs!$C$6</f>
        <v>0</v>
      </c>
      <c r="G145" s="20">
        <f>+Raw_Financials!G145/FXs!$C$7</f>
        <v>0</v>
      </c>
      <c r="H145" s="20">
        <f>+Raw_Financials!H145/FXs!$C$8</f>
        <v>0</v>
      </c>
      <c r="I145" s="20">
        <f>+Raw_Financials!I145/FXs!$C$9</f>
        <v>0</v>
      </c>
      <c r="J145" s="20">
        <f>+Raw_Financials!J145/FXs!$C$10</f>
        <v>0</v>
      </c>
      <c r="K145" s="20">
        <f>+Raw_Financials!K145/FXs!$C$11</f>
        <v>0</v>
      </c>
      <c r="L145" s="20">
        <f t="shared" si="10"/>
        <v>0</v>
      </c>
      <c r="M145" s="20">
        <f t="shared" si="11"/>
        <v>0</v>
      </c>
      <c r="N145" s="21">
        <f t="shared" si="12"/>
        <v>0</v>
      </c>
      <c r="O145" s="21">
        <f t="shared" si="13"/>
        <v>0</v>
      </c>
      <c r="P145" s="21">
        <f t="shared" si="14"/>
        <v>0</v>
      </c>
    </row>
    <row r="146" spans="1:16" ht="16">
      <c r="A146" s="5" t="s">
        <v>144</v>
      </c>
      <c r="B146" s="20">
        <f>+Raw_Financials!B146/FXs!$C$2</f>
        <v>0</v>
      </c>
      <c r="C146" s="20">
        <f>+Raw_Financials!C146/FXs!$C$3</f>
        <v>860.04458260157423</v>
      </c>
      <c r="D146" s="20">
        <f>+Raw_Financials!D146/FXs!$C$4</f>
        <v>419.14078646762408</v>
      </c>
      <c r="E146" s="20">
        <f>+Raw_Financials!E146/FXs!$C$5</f>
        <v>797.69058392549277</v>
      </c>
      <c r="F146" s="20">
        <f>+Raw_Financials!F146/FXs!$C$6</f>
        <v>322.60247391919665</v>
      </c>
      <c r="G146" s="20">
        <f>+Raw_Financials!G146/FXs!$C$7</f>
        <v>398.67711427517628</v>
      </c>
      <c r="H146" s="20">
        <f>+Raw_Financials!H146/FXs!$C$8</f>
        <v>282.44448593853565</v>
      </c>
      <c r="I146" s="20">
        <f>+Raw_Financials!I146/FXs!$C$9</f>
        <v>2453.4349983281268</v>
      </c>
      <c r="J146" s="20">
        <f>+Raw_Financials!J146/FXs!$C$10</f>
        <v>858.03159217016105</v>
      </c>
      <c r="K146" s="20">
        <f>+Raw_Financials!K146/FXs!$C$11</f>
        <v>1426.7874435738302</v>
      </c>
      <c r="L146" s="20">
        <f t="shared" si="10"/>
        <v>341.62113400819158</v>
      </c>
      <c r="M146" s="20">
        <f t="shared" si="11"/>
        <v>859.54133499372097</v>
      </c>
      <c r="N146" s="21">
        <f t="shared" si="12"/>
        <v>517.92020098552939</v>
      </c>
      <c r="O146" s="21">
        <f t="shared" si="13"/>
        <v>-1212.1394689483966</v>
      </c>
      <c r="P146" s="21">
        <f t="shared" si="14"/>
        <v>2413.3019379503094</v>
      </c>
    </row>
    <row r="147" spans="1:16" ht="16">
      <c r="A147" s="6" t="s">
        <v>145</v>
      </c>
      <c r="B147" s="20">
        <f>+Raw_Financials!B147/FXs!$C$2</f>
        <v>0</v>
      </c>
      <c r="C147" s="20">
        <f>+Raw_Financials!C147/FXs!$C$3</f>
        <v>0</v>
      </c>
      <c r="D147" s="20">
        <f>+Raw_Financials!D147/FXs!$C$4</f>
        <v>0</v>
      </c>
      <c r="E147" s="20">
        <f>+Raw_Financials!E147/FXs!$C$5</f>
        <v>0</v>
      </c>
      <c r="F147" s="20">
        <f>+Raw_Financials!F147/FXs!$C$6</f>
        <v>0</v>
      </c>
      <c r="G147" s="20">
        <f>+Raw_Financials!G147/FXs!$C$7</f>
        <v>0</v>
      </c>
      <c r="H147" s="20">
        <f>+Raw_Financials!H147/FXs!$C$8</f>
        <v>0</v>
      </c>
      <c r="I147" s="20">
        <f>+Raw_Financials!I147/FXs!$C$9</f>
        <v>0</v>
      </c>
      <c r="J147" s="20">
        <f>+Raw_Financials!J147/FXs!$C$10</f>
        <v>0</v>
      </c>
      <c r="K147" s="20">
        <f>+Raw_Financials!K147/FXs!$C$11</f>
        <v>0</v>
      </c>
      <c r="L147" s="20">
        <f t="shared" si="10"/>
        <v>0</v>
      </c>
      <c r="M147" s="20">
        <f t="shared" si="11"/>
        <v>0</v>
      </c>
      <c r="N147" s="21">
        <f t="shared" si="12"/>
        <v>0</v>
      </c>
      <c r="O147" s="21">
        <f t="shared" si="13"/>
        <v>0</v>
      </c>
      <c r="P147" s="21">
        <f t="shared" si="14"/>
        <v>0</v>
      </c>
    </row>
    <row r="148" spans="1:16" ht="16">
      <c r="A148" s="5" t="s">
        <v>146</v>
      </c>
      <c r="B148" s="20">
        <f>+Raw_Financials!B148/FXs!$C$2</f>
        <v>0</v>
      </c>
      <c r="C148" s="20">
        <f>+Raw_Financials!C148/FXs!$C$3</f>
        <v>0</v>
      </c>
      <c r="D148" s="20">
        <f>+Raw_Financials!D148/FXs!$C$4</f>
        <v>728.03246957369038</v>
      </c>
      <c r="E148" s="20">
        <f>+Raw_Financials!E148/FXs!$C$5</f>
        <v>378.16267995828781</v>
      </c>
      <c r="F148" s="20">
        <f>+Raw_Financials!F148/FXs!$C$6</f>
        <v>449.44133591013571</v>
      </c>
      <c r="G148" s="20">
        <f>+Raw_Financials!G148/FXs!$C$7</f>
        <v>215.26887200177956</v>
      </c>
      <c r="H148" s="20">
        <f>+Raw_Financials!H148/FXs!$C$8</f>
        <v>314.48507723150357</v>
      </c>
      <c r="I148" s="20">
        <f>+Raw_Financials!I148/FXs!$C$9</f>
        <v>927.51792197961322</v>
      </c>
      <c r="J148" s="20">
        <f>+Raw_Financials!J148/FXs!$C$10</f>
        <v>1174.9482045003372</v>
      </c>
      <c r="K148" s="20">
        <f>+Raw_Financials!K148/FXs!$C$11</f>
        <v>786.73646192178649</v>
      </c>
      <c r="L148" s="20">
        <f t="shared" si="10"/>
        <v>240.07292330921055</v>
      </c>
      <c r="M148" s="20">
        <f t="shared" si="11"/>
        <v>772.06046383476246</v>
      </c>
      <c r="N148" s="21">
        <f t="shared" si="12"/>
        <v>531.98754052555194</v>
      </c>
      <c r="O148" s="21">
        <f t="shared" si="13"/>
        <v>-1355.8896982674451</v>
      </c>
      <c r="P148" s="21">
        <f t="shared" si="14"/>
        <v>2368.0230854114179</v>
      </c>
    </row>
    <row r="149" spans="1:16" ht="16">
      <c r="A149" s="6" t="s">
        <v>147</v>
      </c>
      <c r="B149" s="20">
        <f>+Raw_Financials!B149/FXs!$C$2</f>
        <v>0</v>
      </c>
      <c r="C149" s="20">
        <f>+Raw_Financials!C149/FXs!$C$3</f>
        <v>0</v>
      </c>
      <c r="D149" s="20">
        <f>+Raw_Financials!D149/FXs!$C$4</f>
        <v>0</v>
      </c>
      <c r="E149" s="20">
        <f>+Raw_Financials!E149/FXs!$C$5</f>
        <v>0</v>
      </c>
      <c r="F149" s="20">
        <f>+Raw_Financials!F149/FXs!$C$6</f>
        <v>0</v>
      </c>
      <c r="G149" s="20">
        <f>+Raw_Financials!G149/FXs!$C$7</f>
        <v>0</v>
      </c>
      <c r="H149" s="20">
        <f>+Raw_Financials!H149/FXs!$C$8</f>
        <v>0</v>
      </c>
      <c r="I149" s="20">
        <f>+Raw_Financials!I149/FXs!$C$9</f>
        <v>0</v>
      </c>
      <c r="J149" s="20">
        <f>+Raw_Financials!J149/FXs!$C$10</f>
        <v>0</v>
      </c>
      <c r="K149" s="20">
        <f>+Raw_Financials!K149/FXs!$C$11</f>
        <v>0</v>
      </c>
      <c r="L149" s="20">
        <f t="shared" si="10"/>
        <v>0</v>
      </c>
      <c r="M149" s="20">
        <f t="shared" si="11"/>
        <v>0</v>
      </c>
      <c r="N149" s="21">
        <f t="shared" si="12"/>
        <v>0</v>
      </c>
      <c r="O149" s="21">
        <f t="shared" si="13"/>
        <v>0</v>
      </c>
      <c r="P149" s="21">
        <f t="shared" si="14"/>
        <v>0</v>
      </c>
    </row>
    <row r="150" spans="1:16" ht="16">
      <c r="A150" s="5" t="s">
        <v>148</v>
      </c>
      <c r="B150" s="20">
        <f>+Raw_Financials!B150/FXs!$C$2</f>
        <v>744.17733291204775</v>
      </c>
      <c r="C150" s="20">
        <f>+Raw_Financials!C150/FXs!$C$3</f>
        <v>642.53732587770673</v>
      </c>
      <c r="D150" s="20">
        <f>+Raw_Financials!D150/FXs!$C$4</f>
        <v>607.87044348021345</v>
      </c>
      <c r="E150" s="20">
        <f>+Raw_Financials!E150/FXs!$C$5</f>
        <v>82.610398048616034</v>
      </c>
      <c r="F150" s="20">
        <f>+Raw_Financials!F150/FXs!$C$6</f>
        <v>934.35187708579804</v>
      </c>
      <c r="G150" s="20">
        <f>+Raw_Financials!G150/FXs!$C$7</f>
        <v>0</v>
      </c>
      <c r="H150" s="20">
        <f>+Raw_Financials!H150/FXs!$C$8</f>
        <v>527.97895521015857</v>
      </c>
      <c r="I150" s="20">
        <f>+Raw_Financials!I150/FXs!$C$9</f>
        <v>0</v>
      </c>
      <c r="J150" s="20">
        <f>+Raw_Financials!J150/FXs!$C$10</f>
        <v>0</v>
      </c>
      <c r="K150" s="20">
        <f>+Raw_Financials!K150/FXs!$C$11</f>
        <v>1628.2466377412816</v>
      </c>
      <c r="L150" s="20">
        <f t="shared" si="10"/>
        <v>20.652599512154008</v>
      </c>
      <c r="M150" s="20">
        <f t="shared" si="11"/>
        <v>718.76733115346246</v>
      </c>
      <c r="N150" s="21">
        <f t="shared" si="12"/>
        <v>698.11473164130848</v>
      </c>
      <c r="O150" s="21">
        <f t="shared" si="13"/>
        <v>-2073.6915954117712</v>
      </c>
      <c r="P150" s="21">
        <f t="shared" si="14"/>
        <v>2813.1115260773877</v>
      </c>
    </row>
    <row r="151" spans="1:16" ht="16">
      <c r="A151" s="6" t="s">
        <v>149</v>
      </c>
      <c r="B151" s="20">
        <f>+Raw_Financials!B151/FXs!$C$2</f>
        <v>0</v>
      </c>
      <c r="C151" s="20">
        <f>+Raw_Financials!C151/FXs!$C$3</f>
        <v>0</v>
      </c>
      <c r="D151" s="20">
        <f>+Raw_Financials!D151/FXs!$C$4</f>
        <v>0</v>
      </c>
      <c r="E151" s="20">
        <f>+Raw_Financials!E151/FXs!$C$5</f>
        <v>0</v>
      </c>
      <c r="F151" s="20">
        <f>+Raw_Financials!F151/FXs!$C$6</f>
        <v>0</v>
      </c>
      <c r="G151" s="20">
        <f>+Raw_Financials!G151/FXs!$C$7</f>
        <v>0</v>
      </c>
      <c r="H151" s="20">
        <f>+Raw_Financials!H151/FXs!$C$8</f>
        <v>0</v>
      </c>
      <c r="I151" s="20">
        <f>+Raw_Financials!I151/FXs!$C$9</f>
        <v>0</v>
      </c>
      <c r="J151" s="20">
        <f>+Raw_Financials!J151/FXs!$C$10</f>
        <v>0</v>
      </c>
      <c r="K151" s="20">
        <f>+Raw_Financials!K151/FXs!$C$11</f>
        <v>0</v>
      </c>
      <c r="L151" s="20">
        <f t="shared" si="10"/>
        <v>0</v>
      </c>
      <c r="M151" s="20">
        <f t="shared" si="11"/>
        <v>0</v>
      </c>
      <c r="N151" s="21">
        <f t="shared" si="12"/>
        <v>0</v>
      </c>
      <c r="O151" s="21">
        <f t="shared" si="13"/>
        <v>0</v>
      </c>
      <c r="P151" s="21">
        <f t="shared" si="14"/>
        <v>0</v>
      </c>
    </row>
    <row r="152" spans="1:16" ht="16">
      <c r="A152" s="5" t="s">
        <v>150</v>
      </c>
      <c r="B152" s="20">
        <f>+Raw_Financials!B152/FXs!$C$2</f>
        <v>0</v>
      </c>
      <c r="C152" s="20">
        <f>+Raw_Financials!C152/FXs!$C$3</f>
        <v>0</v>
      </c>
      <c r="D152" s="20">
        <f>+Raw_Financials!D152/FXs!$C$4</f>
        <v>0</v>
      </c>
      <c r="E152" s="20">
        <f>+Raw_Financials!E152/FXs!$C$5</f>
        <v>0</v>
      </c>
      <c r="F152" s="20">
        <f>+Raw_Financials!F152/FXs!$C$6</f>
        <v>0</v>
      </c>
      <c r="G152" s="20">
        <f>+Raw_Financials!G152/FXs!$C$7</f>
        <v>0</v>
      </c>
      <c r="H152" s="20">
        <f>+Raw_Financials!H152/FXs!$C$8</f>
        <v>0</v>
      </c>
      <c r="I152" s="20">
        <f>+Raw_Financials!I152/FXs!$C$9</f>
        <v>0</v>
      </c>
      <c r="J152" s="20">
        <f>+Raw_Financials!J152/FXs!$C$10</f>
        <v>0</v>
      </c>
      <c r="K152" s="20">
        <f>+Raw_Financials!K152/FXs!$C$11</f>
        <v>0</v>
      </c>
      <c r="L152" s="20">
        <f t="shared" si="10"/>
        <v>0</v>
      </c>
      <c r="M152" s="20">
        <f t="shared" si="11"/>
        <v>0</v>
      </c>
      <c r="N152" s="21">
        <f t="shared" si="12"/>
        <v>0</v>
      </c>
      <c r="O152" s="21">
        <f t="shared" si="13"/>
        <v>0</v>
      </c>
      <c r="P152" s="21">
        <f t="shared" si="14"/>
        <v>0</v>
      </c>
    </row>
    <row r="153" spans="1:16" ht="16">
      <c r="A153" s="6" t="s">
        <v>151</v>
      </c>
      <c r="B153" s="20">
        <f>+Raw_Financials!B153/FXs!$C$2</f>
        <v>0</v>
      </c>
      <c r="C153" s="20">
        <f>+Raw_Financials!C153/FXs!$C$3</f>
        <v>0</v>
      </c>
      <c r="D153" s="20">
        <f>+Raw_Financials!D153/FXs!$C$4</f>
        <v>0</v>
      </c>
      <c r="E153" s="20">
        <f>+Raw_Financials!E153/FXs!$C$5</f>
        <v>0</v>
      </c>
      <c r="F153" s="20">
        <f>+Raw_Financials!F153/FXs!$C$6</f>
        <v>0</v>
      </c>
      <c r="G153" s="20">
        <f>+Raw_Financials!G153/FXs!$C$7</f>
        <v>0</v>
      </c>
      <c r="H153" s="20">
        <f>+Raw_Financials!H153/FXs!$C$8</f>
        <v>0</v>
      </c>
      <c r="I153" s="20">
        <f>+Raw_Financials!I153/FXs!$C$9</f>
        <v>0</v>
      </c>
      <c r="J153" s="20">
        <f>+Raw_Financials!J153/FXs!$C$10</f>
        <v>0</v>
      </c>
      <c r="K153" s="20">
        <f>+Raw_Financials!K153/FXs!$C$11</f>
        <v>0</v>
      </c>
      <c r="L153" s="20">
        <f t="shared" si="10"/>
        <v>0</v>
      </c>
      <c r="M153" s="20">
        <f t="shared" si="11"/>
        <v>0</v>
      </c>
      <c r="N153" s="21">
        <f t="shared" si="12"/>
        <v>0</v>
      </c>
      <c r="O153" s="21">
        <f t="shared" si="13"/>
        <v>0</v>
      </c>
      <c r="P153" s="21">
        <f t="shared" si="14"/>
        <v>0</v>
      </c>
    </row>
    <row r="154" spans="1:16" ht="16">
      <c r="A154" s="5" t="s">
        <v>152</v>
      </c>
      <c r="B154" s="20">
        <f>+Raw_Financials!B154/FXs!$C$2</f>
        <v>3.478636707781634</v>
      </c>
      <c r="C154" s="20">
        <f>+Raw_Financials!C154/FXs!$C$3</f>
        <v>21.286485556904534</v>
      </c>
      <c r="D154" s="20">
        <f>+Raw_Financials!D154/FXs!$C$4</f>
        <v>34.284075354756609</v>
      </c>
      <c r="E154" s="20">
        <f>+Raw_Financials!E154/FXs!$C$5</f>
        <v>843.17557610882807</v>
      </c>
      <c r="F154" s="20">
        <f>+Raw_Financials!F154/FXs!$C$6</f>
        <v>1030.2855456528835</v>
      </c>
      <c r="G154" s="20">
        <f>+Raw_Financials!G154/FXs!$C$7</f>
        <v>557.53939110676913</v>
      </c>
      <c r="H154" s="20">
        <f>+Raw_Financials!H154/FXs!$C$8</f>
        <v>923.62967186170692</v>
      </c>
      <c r="I154" s="20">
        <f>+Raw_Financials!I154/FXs!$C$9</f>
        <v>1084.6195477073657</v>
      </c>
      <c r="J154" s="20">
        <f>+Raw_Financials!J154/FXs!$C$10</f>
        <v>1394.6126166539025</v>
      </c>
      <c r="K154" s="20">
        <f>+Raw_Financials!K154/FXs!$C$11</f>
        <v>1840.0632074553814</v>
      </c>
      <c r="L154" s="20">
        <f t="shared" si="10"/>
        <v>165.09790429275972</v>
      </c>
      <c r="M154" s="20">
        <f t="shared" si="11"/>
        <v>1071.0360471937452</v>
      </c>
      <c r="N154" s="21">
        <f t="shared" si="12"/>
        <v>905.93814290098544</v>
      </c>
      <c r="O154" s="21">
        <f t="shared" si="13"/>
        <v>-2552.7165244101966</v>
      </c>
      <c r="P154" s="21">
        <f t="shared" si="14"/>
        <v>3788.8504758967015</v>
      </c>
    </row>
    <row r="155" spans="1:16" ht="16">
      <c r="A155" s="6" t="s">
        <v>153</v>
      </c>
      <c r="B155" s="20">
        <f>+Raw_Financials!B155/FXs!$C$2</f>
        <v>0</v>
      </c>
      <c r="C155" s="20">
        <f>+Raw_Financials!C155/FXs!$C$3</f>
        <v>0</v>
      </c>
      <c r="D155" s="20">
        <f>+Raw_Financials!D155/FXs!$C$4</f>
        <v>0</v>
      </c>
      <c r="E155" s="20">
        <f>+Raw_Financials!E155/FXs!$C$5</f>
        <v>0</v>
      </c>
      <c r="F155" s="20">
        <f>+Raw_Financials!F155/FXs!$C$6</f>
        <v>0</v>
      </c>
      <c r="G155" s="20">
        <f>+Raw_Financials!G155/FXs!$C$7</f>
        <v>0</v>
      </c>
      <c r="H155" s="20">
        <f>+Raw_Financials!H155/FXs!$C$8</f>
        <v>0</v>
      </c>
      <c r="I155" s="20">
        <f>+Raw_Financials!I155/FXs!$C$9</f>
        <v>0</v>
      </c>
      <c r="J155" s="20">
        <f>+Raw_Financials!J155/FXs!$C$10</f>
        <v>0</v>
      </c>
      <c r="K155" s="20">
        <f>+Raw_Financials!K155/FXs!$C$11</f>
        <v>0</v>
      </c>
      <c r="L155" s="20">
        <f t="shared" si="10"/>
        <v>0</v>
      </c>
      <c r="M155" s="20">
        <f t="shared" si="11"/>
        <v>0</v>
      </c>
      <c r="N155" s="21">
        <f t="shared" si="12"/>
        <v>0</v>
      </c>
      <c r="O155" s="21">
        <f t="shared" si="13"/>
        <v>0</v>
      </c>
      <c r="P155" s="21">
        <f t="shared" si="14"/>
        <v>0</v>
      </c>
    </row>
    <row r="156" spans="1:16" ht="16">
      <c r="A156" s="5" t="s">
        <v>154</v>
      </c>
      <c r="B156" s="20">
        <f>+Raw_Financials!B156/FXs!$C$2</f>
        <v>0</v>
      </c>
      <c r="C156" s="20">
        <f>+Raw_Financials!C156/FXs!$C$3</f>
        <v>0</v>
      </c>
      <c r="D156" s="20">
        <f>+Raw_Financials!D156/FXs!$C$4</f>
        <v>0</v>
      </c>
      <c r="E156" s="20">
        <f>+Raw_Financials!E156/FXs!$C$5</f>
        <v>0</v>
      </c>
      <c r="F156" s="20">
        <f>+Raw_Financials!F156/FXs!$C$6</f>
        <v>0</v>
      </c>
      <c r="G156" s="20">
        <f>+Raw_Financials!G156/FXs!$C$7</f>
        <v>0</v>
      </c>
      <c r="H156" s="20">
        <f>+Raw_Financials!H156/FXs!$C$8</f>
        <v>0</v>
      </c>
      <c r="I156" s="20">
        <f>+Raw_Financials!I156/FXs!$C$9</f>
        <v>0</v>
      </c>
      <c r="J156" s="20">
        <f>+Raw_Financials!J156/FXs!$C$10</f>
        <v>0</v>
      </c>
      <c r="K156" s="20">
        <f>+Raw_Financials!K156/FXs!$C$11</f>
        <v>1565.4977228985344</v>
      </c>
      <c r="L156" s="20">
        <f t="shared" si="10"/>
        <v>0</v>
      </c>
      <c r="M156" s="20">
        <f t="shared" si="11"/>
        <v>0</v>
      </c>
      <c r="N156" s="21">
        <f t="shared" si="12"/>
        <v>0</v>
      </c>
      <c r="O156" s="21">
        <f t="shared" si="13"/>
        <v>0</v>
      </c>
      <c r="P156" s="21">
        <f t="shared" si="14"/>
        <v>0</v>
      </c>
    </row>
    <row r="157" spans="1:16" ht="16">
      <c r="A157" s="6" t="s">
        <v>155</v>
      </c>
      <c r="B157" s="20">
        <f>+Raw_Financials!B157/FXs!$C$2</f>
        <v>0</v>
      </c>
      <c r="C157" s="20">
        <f>+Raw_Financials!C157/FXs!$C$3</f>
        <v>0</v>
      </c>
      <c r="D157" s="20">
        <f>+Raw_Financials!D157/FXs!$C$4</f>
        <v>0</v>
      </c>
      <c r="E157" s="20">
        <f>+Raw_Financials!E157/FXs!$C$5</f>
        <v>0</v>
      </c>
      <c r="F157" s="20">
        <f>+Raw_Financials!F157/FXs!$C$6</f>
        <v>0</v>
      </c>
      <c r="G157" s="20">
        <f>+Raw_Financials!G157/FXs!$C$7</f>
        <v>0</v>
      </c>
      <c r="H157" s="20">
        <f>+Raw_Financials!H157/FXs!$C$8</f>
        <v>0</v>
      </c>
      <c r="I157" s="20">
        <f>+Raw_Financials!I157/FXs!$C$9</f>
        <v>0</v>
      </c>
      <c r="J157" s="20">
        <f>+Raw_Financials!J157/FXs!$C$10</f>
        <v>0</v>
      </c>
      <c r="K157" s="20">
        <f>+Raw_Financials!K157/FXs!$C$11</f>
        <v>0</v>
      </c>
      <c r="L157" s="20">
        <f t="shared" si="10"/>
        <v>0</v>
      </c>
      <c r="M157" s="20">
        <f t="shared" si="11"/>
        <v>0</v>
      </c>
      <c r="N157" s="21">
        <f t="shared" si="12"/>
        <v>0</v>
      </c>
      <c r="O157" s="21">
        <f t="shared" si="13"/>
        <v>0</v>
      </c>
      <c r="P157" s="21">
        <f t="shared" si="14"/>
        <v>0</v>
      </c>
    </row>
    <row r="158" spans="1:16" ht="16">
      <c r="A158" s="7" t="s">
        <v>140</v>
      </c>
      <c r="B158" s="20">
        <f>+Raw_Financials!B158/FXs!$C$2</f>
        <v>3804.2368293976961</v>
      </c>
      <c r="C158" s="20">
        <f>+Raw_Financials!C158/FXs!$C$3</f>
        <v>10010.274869587345</v>
      </c>
      <c r="D158" s="20">
        <f>+Raw_Financials!D158/FXs!$C$4</f>
        <v>15065.578724731233</v>
      </c>
      <c r="E158" s="20">
        <f>+Raw_Financials!E158/FXs!$C$5</f>
        <v>13116.033756145212</v>
      </c>
      <c r="F158" s="20">
        <f>+Raw_Financials!F158/FXs!$C$6</f>
        <v>14063.962490987087</v>
      </c>
      <c r="G158" s="20">
        <f>+Raw_Financials!G158/FXs!$C$7</f>
        <v>13902.917405516817</v>
      </c>
      <c r="H158" s="20">
        <f>+Raw_Financials!H158/FXs!$C$8</f>
        <v>11013.071654870777</v>
      </c>
      <c r="I158" s="20">
        <f>+Raw_Financials!I158/FXs!$C$9</f>
        <v>59155.213028456004</v>
      </c>
      <c r="J158" s="20">
        <f>+Raw_Financials!J158/FXs!$C$10</f>
        <v>48597.070087344022</v>
      </c>
      <c r="K158" s="20">
        <f>+Raw_Financials!K158/FXs!$C$11</f>
        <v>27795.200874715119</v>
      </c>
      <c r="L158" s="20">
        <f t="shared" si="10"/>
        <v>11538.812180189387</v>
      </c>
      <c r="M158" s="20">
        <f t="shared" si="11"/>
        <v>24612.795337219148</v>
      </c>
      <c r="N158" s="21">
        <f t="shared" si="12"/>
        <v>13073.983157029761</v>
      </c>
      <c r="O158" s="21">
        <f t="shared" si="13"/>
        <v>-27683.137290899896</v>
      </c>
      <c r="P158" s="21">
        <f t="shared" si="14"/>
        <v>63834.744808308431</v>
      </c>
    </row>
    <row r="159" spans="1:16" ht="16">
      <c r="A159" s="6" t="s">
        <v>156</v>
      </c>
      <c r="B159" s="20">
        <f>+Raw_Financials!B159/FXs!$C$2</f>
        <v>104091.47998998441</v>
      </c>
      <c r="C159" s="20">
        <f>+Raw_Financials!C159/FXs!$C$3</f>
        <v>77680.45729085723</v>
      </c>
      <c r="D159" s="20">
        <f>+Raw_Financials!D159/FXs!$C$4</f>
        <v>102220.18952547986</v>
      </c>
      <c r="E159" s="20">
        <f>+Raw_Financials!E159/FXs!$C$5</f>
        <v>105025.81187415098</v>
      </c>
      <c r="F159" s="20">
        <f>+Raw_Financials!F159/FXs!$C$6</f>
        <v>110135.09923863785</v>
      </c>
      <c r="G159" s="20">
        <f>+Raw_Financials!G159/FXs!$C$7</f>
        <v>61396.970191655273</v>
      </c>
      <c r="H159" s="20">
        <f>+Raw_Financials!H159/FXs!$C$8</f>
        <v>74191.020554359173</v>
      </c>
      <c r="I159" s="20">
        <f>+Raw_Financials!I159/FXs!$C$9</f>
        <v>136316.78684081844</v>
      </c>
      <c r="J159" s="20">
        <f>+Raw_Financials!J159/FXs!$C$10</f>
        <v>130078.45704277976</v>
      </c>
      <c r="K159" s="20">
        <f>+Raw_Financials!K159/FXs!$C$11</f>
        <v>151623.50910247923</v>
      </c>
      <c r="L159" s="20">
        <f t="shared" si="10"/>
        <v>83815.390349512891</v>
      </c>
      <c r="M159" s="20">
        <f t="shared" si="11"/>
        <v>125092.61759174429</v>
      </c>
      <c r="N159" s="21">
        <f t="shared" si="12"/>
        <v>41277.227242231398</v>
      </c>
      <c r="O159" s="21">
        <f t="shared" si="13"/>
        <v>-40016.291377181304</v>
      </c>
      <c r="P159" s="21">
        <f t="shared" si="14"/>
        <v>248924.29931843848</v>
      </c>
    </row>
    <row r="160" spans="1:16" ht="16">
      <c r="A160" s="5" t="s">
        <v>157</v>
      </c>
      <c r="B160" s="20">
        <f>+Raw_Financials!B160/FXs!$C$2</f>
        <v>296.36113114861553</v>
      </c>
      <c r="C160" s="20">
        <f>+Raw_Financials!C160/FXs!$C$3</f>
        <v>40.220672152419546</v>
      </c>
      <c r="D160" s="20">
        <f>+Raw_Financials!D160/FXs!$C$4</f>
        <v>0</v>
      </c>
      <c r="E160" s="20">
        <f>+Raw_Financials!E160/FXs!$C$5</f>
        <v>0</v>
      </c>
      <c r="F160" s="20">
        <f>+Raw_Financials!F160/FXs!$C$6</f>
        <v>0</v>
      </c>
      <c r="G160" s="20">
        <f>+Raw_Financials!G160/FXs!$C$7</f>
        <v>2.8115291593579408</v>
      </c>
      <c r="H160" s="20">
        <f>+Raw_Financials!H160/FXs!$C$8</f>
        <v>3.1115063405616414</v>
      </c>
      <c r="I160" s="20">
        <f>+Raw_Financials!I160/FXs!$C$9</f>
        <v>0</v>
      </c>
      <c r="J160" s="20">
        <f>+Raw_Financials!J160/FXs!$C$10</f>
        <v>0</v>
      </c>
      <c r="K160" s="20">
        <f>+Raw_Financials!K160/FXs!$C$11</f>
        <v>0</v>
      </c>
      <c r="L160" s="20">
        <f t="shared" si="10"/>
        <v>0</v>
      </c>
      <c r="M160" s="20">
        <f t="shared" si="11"/>
        <v>3.0365120452607162</v>
      </c>
      <c r="N160" s="21">
        <f t="shared" si="12"/>
        <v>3.0365120452607162</v>
      </c>
      <c r="O160" s="21">
        <f t="shared" si="13"/>
        <v>-9.1095361357821485</v>
      </c>
      <c r="P160" s="21">
        <f t="shared" si="14"/>
        <v>12.146048181042865</v>
      </c>
    </row>
    <row r="161" spans="1:16" ht="16">
      <c r="A161" s="6" t="s">
        <v>158</v>
      </c>
      <c r="B161" s="20">
        <f>+Raw_Financials!B161/FXs!$C$2</f>
        <v>0</v>
      </c>
      <c r="C161" s="20">
        <f>+Raw_Financials!C161/FXs!$C$3</f>
        <v>0</v>
      </c>
      <c r="D161" s="20">
        <f>+Raw_Financials!D161/FXs!$C$4</f>
        <v>0</v>
      </c>
      <c r="E161" s="20">
        <f>+Raw_Financials!E161/FXs!$C$5</f>
        <v>0</v>
      </c>
      <c r="F161" s="20">
        <f>+Raw_Financials!F161/FXs!$C$6</f>
        <v>0</v>
      </c>
      <c r="G161" s="20">
        <f>+Raw_Financials!G161/FXs!$C$7</f>
        <v>0</v>
      </c>
      <c r="H161" s="20">
        <f>+Raw_Financials!H161/FXs!$C$8</f>
        <v>0</v>
      </c>
      <c r="I161" s="20">
        <f>+Raw_Financials!I161/FXs!$C$9</f>
        <v>0</v>
      </c>
      <c r="J161" s="20">
        <f>+Raw_Financials!J161/FXs!$C$10</f>
        <v>0</v>
      </c>
      <c r="K161" s="20">
        <f>+Raw_Financials!K161/FXs!$C$11</f>
        <v>0</v>
      </c>
      <c r="L161" s="20">
        <f t="shared" si="10"/>
        <v>0</v>
      </c>
      <c r="M161" s="20">
        <f t="shared" si="11"/>
        <v>0</v>
      </c>
      <c r="N161" s="21">
        <f t="shared" si="12"/>
        <v>0</v>
      </c>
      <c r="O161" s="21">
        <f t="shared" si="13"/>
        <v>0</v>
      </c>
      <c r="P161" s="21">
        <f t="shared" si="14"/>
        <v>0</v>
      </c>
    </row>
    <row r="162" spans="1:16" ht="16">
      <c r="A162" s="5" t="s">
        <v>159</v>
      </c>
      <c r="B162" s="20">
        <f>+Raw_Financials!B162/FXs!$C$2</f>
        <v>2518.1740749131059</v>
      </c>
      <c r="C162" s="20">
        <f>+Raw_Financials!C162/FXs!$C$3</f>
        <v>1565.6270747455465</v>
      </c>
      <c r="D162" s="20">
        <f>+Raw_Financials!D162/FXs!$C$4</f>
        <v>2200.1986960686304</v>
      </c>
      <c r="E162" s="20">
        <f>+Raw_Financials!E162/FXs!$C$5</f>
        <v>5515.7736703144528</v>
      </c>
      <c r="F162" s="20">
        <f>+Raw_Financials!F162/FXs!$C$6</f>
        <v>6169.2893906147765</v>
      </c>
      <c r="G162" s="20">
        <f>+Raw_Financials!G162/FXs!$C$7</f>
        <v>5510.3787886893315</v>
      </c>
      <c r="H162" s="20">
        <f>+Raw_Financials!H162/FXs!$C$8</f>
        <v>4287.4055246992066</v>
      </c>
      <c r="I162" s="20">
        <f>+Raw_Financials!I162/FXs!$C$9</f>
        <v>6415.2333595032796</v>
      </c>
      <c r="J162" s="20">
        <f>+Raw_Financials!J162/FXs!$C$10</f>
        <v>2897.5977474339247</v>
      </c>
      <c r="K162" s="20">
        <f>+Raw_Financials!K162/FXs!$C$11</f>
        <v>3463.2984456898885</v>
      </c>
      <c r="L162" s="20">
        <f t="shared" si="10"/>
        <v>2613.0299930433107</v>
      </c>
      <c r="M162" s="20">
        <f t="shared" si="11"/>
        <v>5514.4249499081725</v>
      </c>
      <c r="N162" s="21">
        <f t="shared" si="12"/>
        <v>2901.3949568648618</v>
      </c>
      <c r="O162" s="21">
        <f t="shared" si="13"/>
        <v>-6091.1548775512747</v>
      </c>
      <c r="P162" s="21">
        <f t="shared" si="14"/>
        <v>14218.609820502757</v>
      </c>
    </row>
    <row r="163" spans="1:16" ht="16">
      <c r="A163" s="7" t="s">
        <v>160</v>
      </c>
      <c r="B163" s="20">
        <f>+Raw_Financials!B163/FXs!$C$2</f>
        <v>106906.01519604612</v>
      </c>
      <c r="C163" s="20">
        <f>+Raw_Financials!C163/FXs!$C$3</f>
        <v>79286.305037755184</v>
      </c>
      <c r="D163" s="20">
        <f>+Raw_Financials!D163/FXs!$C$4</f>
        <v>104420.38822154849</v>
      </c>
      <c r="E163" s="20">
        <f>+Raw_Financials!E163/FXs!$C$5</f>
        <v>110541.58554446544</v>
      </c>
      <c r="F163" s="20">
        <f>+Raw_Financials!F163/FXs!$C$6</f>
        <v>116304.38862925263</v>
      </c>
      <c r="G163" s="20">
        <f>+Raw_Financials!G163/FXs!$C$7</f>
        <v>66910.16050950397</v>
      </c>
      <c r="H163" s="20">
        <f>+Raw_Financials!H163/FXs!$C$8</f>
        <v>78481.537585398954</v>
      </c>
      <c r="I163" s="20">
        <f>+Raw_Financials!I163/FXs!$C$9</f>
        <v>142732.02020032174</v>
      </c>
      <c r="J163" s="20">
        <f>+Raw_Financials!J163/FXs!$C$10</f>
        <v>132976.05479021368</v>
      </c>
      <c r="K163" s="20">
        <f>+Raw_Financials!K163/FXs!$C$11</f>
        <v>155086.80754816913</v>
      </c>
      <c r="L163" s="20">
        <f t="shared" si="10"/>
        <v>85569.825833703508</v>
      </c>
      <c r="M163" s="20">
        <f t="shared" si="11"/>
        <v>128808.13824997342</v>
      </c>
      <c r="N163" s="21">
        <f t="shared" si="12"/>
        <v>43238.31241626991</v>
      </c>
      <c r="O163" s="21">
        <f t="shared" si="13"/>
        <v>-44145.111415106221</v>
      </c>
      <c r="P163" s="21">
        <f t="shared" si="14"/>
        <v>258523.07549878315</v>
      </c>
    </row>
    <row r="164" spans="1:16" ht="16">
      <c r="A164" s="5" t="s">
        <v>161</v>
      </c>
      <c r="B164" s="20">
        <f>+Raw_Financials!B164/FXs!$C$2</f>
        <v>0</v>
      </c>
      <c r="C164" s="20">
        <f>+Raw_Financials!C164/FXs!$C$3</f>
        <v>0</v>
      </c>
      <c r="D164" s="20">
        <f>+Raw_Financials!D164/FXs!$C$4</f>
        <v>0</v>
      </c>
      <c r="E164" s="20">
        <f>+Raw_Financials!E164/FXs!$C$5</f>
        <v>0</v>
      </c>
      <c r="F164" s="20">
        <f>+Raw_Financials!F164/FXs!$C$6</f>
        <v>0</v>
      </c>
      <c r="G164" s="20">
        <f>+Raw_Financials!G164/FXs!$C$7</f>
        <v>0</v>
      </c>
      <c r="H164" s="20">
        <f>+Raw_Financials!H164/FXs!$C$8</f>
        <v>0</v>
      </c>
      <c r="I164" s="20">
        <f>+Raw_Financials!I164/FXs!$C$9</f>
        <v>0</v>
      </c>
      <c r="J164" s="20">
        <f>+Raw_Financials!J164/FXs!$C$10</f>
        <v>0</v>
      </c>
      <c r="K164" s="20">
        <f>+Raw_Financials!K164/FXs!$C$11</f>
        <v>0</v>
      </c>
      <c r="L164" s="20">
        <f t="shared" si="10"/>
        <v>0</v>
      </c>
      <c r="M164" s="20">
        <f t="shared" si="11"/>
        <v>0</v>
      </c>
      <c r="N164" s="21">
        <f t="shared" si="12"/>
        <v>0</v>
      </c>
      <c r="O164" s="21">
        <f t="shared" si="13"/>
        <v>0</v>
      </c>
      <c r="P164" s="21">
        <f t="shared" si="14"/>
        <v>0</v>
      </c>
    </row>
    <row r="165" spans="1:16" ht="16">
      <c r="A165" s="6" t="s">
        <v>162</v>
      </c>
      <c r="B165" s="20">
        <f>+Raw_Financials!B165/FXs!$C$2</f>
        <v>0</v>
      </c>
      <c r="C165" s="20">
        <f>+Raw_Financials!C165/FXs!$C$3</f>
        <v>0</v>
      </c>
      <c r="D165" s="20">
        <f>+Raw_Financials!D165/FXs!$C$4</f>
        <v>0</v>
      </c>
      <c r="E165" s="20">
        <f>+Raw_Financials!E165/FXs!$C$5</f>
        <v>0</v>
      </c>
      <c r="F165" s="20">
        <f>+Raw_Financials!F165/FXs!$C$6</f>
        <v>0</v>
      </c>
      <c r="G165" s="20">
        <f>+Raw_Financials!G165/FXs!$C$7</f>
        <v>0</v>
      </c>
      <c r="H165" s="20">
        <f>+Raw_Financials!H165/FXs!$C$8</f>
        <v>0</v>
      </c>
      <c r="I165" s="20">
        <f>+Raw_Financials!I165/FXs!$C$9</f>
        <v>0</v>
      </c>
      <c r="J165" s="20">
        <f>+Raw_Financials!J165/FXs!$C$10</f>
        <v>0</v>
      </c>
      <c r="K165" s="20">
        <f>+Raw_Financials!K165/FXs!$C$11</f>
        <v>0</v>
      </c>
      <c r="L165" s="20">
        <f t="shared" si="10"/>
        <v>0</v>
      </c>
      <c r="M165" s="20">
        <f t="shared" si="11"/>
        <v>0</v>
      </c>
      <c r="N165" s="21">
        <f t="shared" si="12"/>
        <v>0</v>
      </c>
      <c r="O165" s="21">
        <f t="shared" si="13"/>
        <v>0</v>
      </c>
      <c r="P165" s="21">
        <f t="shared" si="14"/>
        <v>0</v>
      </c>
    </row>
    <row r="166" spans="1:16" ht="16">
      <c r="A166" s="5" t="s">
        <v>163</v>
      </c>
      <c r="B166" s="20">
        <f>+Raw_Financials!B166/FXs!$C$2</f>
        <v>-24970.888333800285</v>
      </c>
      <c r="C166" s="20">
        <f>+Raw_Financials!C166/FXs!$C$3</f>
        <v>62302.948158068408</v>
      </c>
      <c r="D166" s="20">
        <f>+Raw_Financials!D166/FXs!$C$4</f>
        <v>69304.500085393447</v>
      </c>
      <c r="E166" s="20">
        <f>+Raw_Financials!E166/FXs!$C$5</f>
        <v>63105.77457672458</v>
      </c>
      <c r="F166" s="20">
        <f>+Raw_Financials!F166/FXs!$C$6</f>
        <v>74291.014608986196</v>
      </c>
      <c r="G166" s="20">
        <f>+Raw_Financials!G166/FXs!$C$7</f>
        <v>37233.746239114364</v>
      </c>
      <c r="H166" s="20">
        <f>+Raw_Financials!H166/FXs!$C$8</f>
        <v>41036.503264927807</v>
      </c>
      <c r="I166" s="20">
        <f>+Raw_Financials!I166/FXs!$C$9</f>
        <v>71343.387026714219</v>
      </c>
      <c r="J166" s="20">
        <f>+Raw_Financials!J166/FXs!$C$10</f>
        <v>72501.446733230943</v>
      </c>
      <c r="K166" s="20">
        <f>+Raw_Financials!K166/FXs!$C$11</f>
        <v>89291.30193996655</v>
      </c>
      <c r="L166" s="20">
        <f t="shared" si="10"/>
        <v>46353.114488212959</v>
      </c>
      <c r="M166" s="20">
        <f t="shared" si="11"/>
        <v>72211.931806601759</v>
      </c>
      <c r="N166" s="21">
        <f t="shared" si="12"/>
        <v>25858.817318388799</v>
      </c>
      <c r="O166" s="21">
        <f t="shared" si="13"/>
        <v>-31223.337466953439</v>
      </c>
      <c r="P166" s="21">
        <f t="shared" si="14"/>
        <v>149788.38376176817</v>
      </c>
    </row>
    <row r="167" spans="1:16" ht="16">
      <c r="A167" s="6" t="s">
        <v>164</v>
      </c>
      <c r="B167" s="20">
        <f>+Raw_Financials!B167/FXs!$C$2</f>
        <v>0</v>
      </c>
      <c r="C167" s="20">
        <f>+Raw_Financials!C167/FXs!$C$3</f>
        <v>0</v>
      </c>
      <c r="D167" s="20">
        <f>+Raw_Financials!D167/FXs!$C$4</f>
        <v>0</v>
      </c>
      <c r="E167" s="20">
        <f>+Raw_Financials!E167/FXs!$C$5</f>
        <v>0</v>
      </c>
      <c r="F167" s="20">
        <f>+Raw_Financials!F167/FXs!$C$6</f>
        <v>0</v>
      </c>
      <c r="G167" s="20">
        <f>+Raw_Financials!G167/FXs!$C$7</f>
        <v>0</v>
      </c>
      <c r="H167" s="20">
        <f>+Raw_Financials!H167/FXs!$C$8</f>
        <v>0</v>
      </c>
      <c r="I167" s="20">
        <f>+Raw_Financials!I167/FXs!$C$9</f>
        <v>0</v>
      </c>
      <c r="J167" s="20">
        <f>+Raw_Financials!J167/FXs!$C$10</f>
        <v>0</v>
      </c>
      <c r="K167" s="20">
        <f>+Raw_Financials!K167/FXs!$C$11</f>
        <v>0</v>
      </c>
      <c r="L167" s="20">
        <f t="shared" si="10"/>
        <v>0</v>
      </c>
      <c r="M167" s="20">
        <f t="shared" si="11"/>
        <v>0</v>
      </c>
      <c r="N167" s="21">
        <f t="shared" si="12"/>
        <v>0</v>
      </c>
      <c r="O167" s="21">
        <f t="shared" si="13"/>
        <v>0</v>
      </c>
      <c r="P167" s="21">
        <f t="shared" si="14"/>
        <v>0</v>
      </c>
    </row>
    <row r="168" spans="1:16" ht="16">
      <c r="A168" s="5" t="s">
        <v>165</v>
      </c>
      <c r="B168" s="20">
        <f>+Raw_Financials!B168/FXs!$C$2</f>
        <v>0</v>
      </c>
      <c r="C168" s="20">
        <f>+Raw_Financials!C168/FXs!$C$3</f>
        <v>0</v>
      </c>
      <c r="D168" s="20">
        <f>+Raw_Financials!D168/FXs!$C$4</f>
        <v>0</v>
      </c>
      <c r="E168" s="20">
        <f>+Raw_Financials!E168/FXs!$C$5</f>
        <v>0</v>
      </c>
      <c r="F168" s="20">
        <f>+Raw_Financials!F168/FXs!$C$6</f>
        <v>0</v>
      </c>
      <c r="G168" s="20">
        <f>+Raw_Financials!G168/FXs!$C$7</f>
        <v>0</v>
      </c>
      <c r="H168" s="20">
        <f>+Raw_Financials!H168/FXs!$C$8</f>
        <v>0</v>
      </c>
      <c r="I168" s="20">
        <f>+Raw_Financials!I168/FXs!$C$9</f>
        <v>0</v>
      </c>
      <c r="J168" s="20">
        <f>+Raw_Financials!J168/FXs!$C$10</f>
        <v>0</v>
      </c>
      <c r="K168" s="20">
        <f>+Raw_Financials!K168/FXs!$C$11</f>
        <v>0</v>
      </c>
      <c r="L168" s="20">
        <f t="shared" si="10"/>
        <v>0</v>
      </c>
      <c r="M168" s="20">
        <f t="shared" si="11"/>
        <v>0</v>
      </c>
      <c r="N168" s="21">
        <f t="shared" si="12"/>
        <v>0</v>
      </c>
      <c r="O168" s="21">
        <f t="shared" si="13"/>
        <v>0</v>
      </c>
      <c r="P168" s="21">
        <f t="shared" si="14"/>
        <v>0</v>
      </c>
    </row>
    <row r="169" spans="1:16" ht="16">
      <c r="A169" s="7" t="s">
        <v>166</v>
      </c>
      <c r="B169" s="20">
        <f>+Raw_Financials!B169/FXs!$C$2</f>
        <v>-24970.888333800285</v>
      </c>
      <c r="C169" s="20">
        <f>+Raw_Financials!C169/FXs!$C$3</f>
        <v>62302.948158068408</v>
      </c>
      <c r="D169" s="20">
        <f>+Raw_Financials!D169/FXs!$C$4</f>
        <v>69304.500085393447</v>
      </c>
      <c r="E169" s="20">
        <f>+Raw_Financials!E169/FXs!$C$5</f>
        <v>63105.77457672458</v>
      </c>
      <c r="F169" s="20">
        <f>+Raw_Financials!F169/FXs!$C$6</f>
        <v>74291.014608986196</v>
      </c>
      <c r="G169" s="20">
        <f>+Raw_Financials!G169/FXs!$C$7</f>
        <v>37233.746239114364</v>
      </c>
      <c r="H169" s="20">
        <f>+Raw_Financials!H169/FXs!$C$8</f>
        <v>41036.503264927807</v>
      </c>
      <c r="I169" s="20">
        <f>+Raw_Financials!I169/FXs!$C$9</f>
        <v>71343.387026714219</v>
      </c>
      <c r="J169" s="20">
        <f>+Raw_Financials!J169/FXs!$C$10</f>
        <v>72501.446733230943</v>
      </c>
      <c r="K169" s="20">
        <f>+Raw_Financials!K169/FXs!$C$11</f>
        <v>89291.30193996655</v>
      </c>
      <c r="L169" s="20">
        <f t="shared" si="10"/>
        <v>46353.114488212959</v>
      </c>
      <c r="M169" s="20">
        <f t="shared" si="11"/>
        <v>72211.931806601759</v>
      </c>
      <c r="N169" s="21">
        <f t="shared" si="12"/>
        <v>25858.817318388799</v>
      </c>
      <c r="O169" s="21">
        <f t="shared" si="13"/>
        <v>-31223.337466953439</v>
      </c>
      <c r="P169" s="21">
        <f t="shared" si="14"/>
        <v>149788.38376176817</v>
      </c>
    </row>
    <row r="170" spans="1:16" ht="16">
      <c r="A170" s="7" t="s">
        <v>167</v>
      </c>
      <c r="B170" s="20">
        <f>+Raw_Financials!B170/FXs!$C$2</f>
        <v>131876.9035298464</v>
      </c>
      <c r="C170" s="20">
        <f>+Raw_Financials!C170/FXs!$C$3</f>
        <v>16983.356879686777</v>
      </c>
      <c r="D170" s="20">
        <f>+Raw_Financials!D170/FXs!$C$4</f>
        <v>35115.888136155038</v>
      </c>
      <c r="E170" s="20">
        <f>+Raw_Financials!E170/FXs!$C$5</f>
        <v>47435.810967740865</v>
      </c>
      <c r="F170" s="20">
        <f>+Raw_Financials!F170/FXs!$C$6</f>
        <v>42013.374020266434</v>
      </c>
      <c r="G170" s="20">
        <f>+Raw_Financials!G170/FXs!$C$7</f>
        <v>29676.414270389603</v>
      </c>
      <c r="H170" s="20">
        <f>+Raw_Financials!H170/FXs!$C$8</f>
        <v>37445.034320471153</v>
      </c>
      <c r="I170" s="20">
        <f>+Raw_Financials!I170/FXs!$C$9</f>
        <v>71388.633173607508</v>
      </c>
      <c r="J170" s="20">
        <f>+Raw_Financials!J170/FXs!$C$10</f>
        <v>60474.608056982739</v>
      </c>
      <c r="K170" s="20">
        <f>+Raw_Financials!K170/FXs!$C$11</f>
        <v>65795.505608202584</v>
      </c>
      <c r="L170" s="20">
        <f t="shared" si="10"/>
        <v>35698.174682234065</v>
      </c>
      <c r="M170" s="20">
        <f t="shared" si="11"/>
        <v>64465.281220397621</v>
      </c>
      <c r="N170" s="21">
        <f t="shared" si="12"/>
        <v>28767.106538163556</v>
      </c>
      <c r="O170" s="21">
        <f t="shared" si="13"/>
        <v>-50603.144932256604</v>
      </c>
      <c r="P170" s="21">
        <f t="shared" si="14"/>
        <v>150766.60083488829</v>
      </c>
    </row>
    <row r="171" spans="1:16" ht="16">
      <c r="A171" s="6" t="s">
        <v>168</v>
      </c>
      <c r="B171" s="20">
        <f>+Raw_Financials!B171/FXs!$C$2</f>
        <v>0</v>
      </c>
      <c r="C171" s="20">
        <f>+Raw_Financials!C171/FXs!$C$3</f>
        <v>0</v>
      </c>
      <c r="D171" s="20">
        <f>+Raw_Financials!D171/FXs!$C$4</f>
        <v>0</v>
      </c>
      <c r="E171" s="20">
        <f>+Raw_Financials!E171/FXs!$C$5</f>
        <v>0</v>
      </c>
      <c r="F171" s="20">
        <f>+Raw_Financials!F171/FXs!$C$6</f>
        <v>0</v>
      </c>
      <c r="G171" s="20">
        <f>+Raw_Financials!G171/FXs!$C$7</f>
        <v>0</v>
      </c>
      <c r="H171" s="20">
        <f>+Raw_Financials!H171/FXs!$C$8</f>
        <v>0</v>
      </c>
      <c r="I171" s="20">
        <f>+Raw_Financials!I171/FXs!$C$9</f>
        <v>0</v>
      </c>
      <c r="J171" s="20">
        <f>+Raw_Financials!J171/FXs!$C$10</f>
        <v>0</v>
      </c>
      <c r="K171" s="20">
        <f>+Raw_Financials!K171/FXs!$C$11</f>
        <v>0</v>
      </c>
      <c r="L171" s="20">
        <f t="shared" si="10"/>
        <v>0</v>
      </c>
      <c r="M171" s="20">
        <f t="shared" si="11"/>
        <v>0</v>
      </c>
      <c r="N171" s="21">
        <f t="shared" si="12"/>
        <v>0</v>
      </c>
      <c r="O171" s="21">
        <f t="shared" si="13"/>
        <v>0</v>
      </c>
      <c r="P171" s="21">
        <f t="shared" si="14"/>
        <v>0</v>
      </c>
    </row>
    <row r="172" spans="1:16" ht="16">
      <c r="A172" s="5" t="s">
        <v>169</v>
      </c>
      <c r="B172" s="20">
        <f>+Raw_Financials!B172/FXs!$C$2</f>
        <v>0</v>
      </c>
      <c r="C172" s="20">
        <f>+Raw_Financials!C172/FXs!$C$3</f>
        <v>0</v>
      </c>
      <c r="D172" s="20">
        <f>+Raw_Financials!D172/FXs!$C$4</f>
        <v>0</v>
      </c>
      <c r="E172" s="20">
        <f>+Raw_Financials!E172/FXs!$C$5</f>
        <v>0</v>
      </c>
      <c r="F172" s="20">
        <f>+Raw_Financials!F172/FXs!$C$6</f>
        <v>0</v>
      </c>
      <c r="G172" s="20">
        <f>+Raw_Financials!G172/FXs!$C$7</f>
        <v>0</v>
      </c>
      <c r="H172" s="20">
        <f>+Raw_Financials!H172/FXs!$C$8</f>
        <v>0</v>
      </c>
      <c r="I172" s="20">
        <f>+Raw_Financials!I172/FXs!$C$9</f>
        <v>0</v>
      </c>
      <c r="J172" s="20">
        <f>+Raw_Financials!J172/FXs!$C$10</f>
        <v>0</v>
      </c>
      <c r="K172" s="20">
        <f>+Raw_Financials!K172/FXs!$C$11</f>
        <v>0</v>
      </c>
      <c r="L172" s="20">
        <f t="shared" si="10"/>
        <v>0</v>
      </c>
      <c r="M172" s="20">
        <f t="shared" si="11"/>
        <v>0</v>
      </c>
      <c r="N172" s="21">
        <f t="shared" si="12"/>
        <v>0</v>
      </c>
      <c r="O172" s="21">
        <f t="shared" si="13"/>
        <v>0</v>
      </c>
      <c r="P172" s="21">
        <f t="shared" si="14"/>
        <v>0</v>
      </c>
    </row>
    <row r="173" spans="1:16" ht="16">
      <c r="A173" s="6" t="s">
        <v>170</v>
      </c>
      <c r="B173" s="20">
        <f>+Raw_Financials!B173/FXs!$C$2</f>
        <v>0</v>
      </c>
      <c r="C173" s="20">
        <f>+Raw_Financials!C173/FXs!$C$3</f>
        <v>0</v>
      </c>
      <c r="D173" s="20">
        <f>+Raw_Financials!D173/FXs!$C$4</f>
        <v>0</v>
      </c>
      <c r="E173" s="20">
        <f>+Raw_Financials!E173/FXs!$C$5</f>
        <v>0</v>
      </c>
      <c r="F173" s="20">
        <f>+Raw_Financials!F173/FXs!$C$6</f>
        <v>0</v>
      </c>
      <c r="G173" s="20">
        <f>+Raw_Financials!G173/FXs!$C$7</f>
        <v>0</v>
      </c>
      <c r="H173" s="20">
        <f>+Raw_Financials!H173/FXs!$C$8</f>
        <v>0</v>
      </c>
      <c r="I173" s="20">
        <f>+Raw_Financials!I173/FXs!$C$9</f>
        <v>0</v>
      </c>
      <c r="J173" s="20">
        <f>+Raw_Financials!J173/FXs!$C$10</f>
        <v>0</v>
      </c>
      <c r="K173" s="20">
        <f>+Raw_Financials!K173/FXs!$C$11</f>
        <v>0</v>
      </c>
      <c r="L173" s="20">
        <f t="shared" si="10"/>
        <v>0</v>
      </c>
      <c r="M173" s="20">
        <f t="shared" si="11"/>
        <v>0</v>
      </c>
      <c r="N173" s="21">
        <f t="shared" si="12"/>
        <v>0</v>
      </c>
      <c r="O173" s="21">
        <f t="shared" si="13"/>
        <v>0</v>
      </c>
      <c r="P173" s="21">
        <f t="shared" si="14"/>
        <v>0</v>
      </c>
    </row>
    <row r="174" spans="1:16" ht="16">
      <c r="A174" s="5" t="s">
        <v>171</v>
      </c>
      <c r="B174" s="20">
        <f>+Raw_Financials!B174/FXs!$C$2</f>
        <v>3830.745837332548</v>
      </c>
      <c r="C174" s="20">
        <f>+Raw_Financials!C174/FXs!$C$3</f>
        <v>6709.8821987481952</v>
      </c>
      <c r="D174" s="20">
        <f>+Raw_Financials!D174/FXs!$C$4</f>
        <v>5327.2000499988335</v>
      </c>
      <c r="E174" s="20">
        <f>+Raw_Financials!E174/FXs!$C$5</f>
        <v>4209.1733630324779</v>
      </c>
      <c r="F174" s="20">
        <f>+Raw_Financials!F174/FXs!$C$6</f>
        <v>4684.9335735720551</v>
      </c>
      <c r="G174" s="20">
        <f>+Raw_Financials!G174/FXs!$C$7</f>
        <v>6341.4511626859367</v>
      </c>
      <c r="H174" s="20">
        <f>+Raw_Financials!H174/FXs!$C$8</f>
        <v>3162.4698044770998</v>
      </c>
      <c r="I174" s="20">
        <f>+Raw_Financials!I174/FXs!$C$9</f>
        <v>4301.9923743937507</v>
      </c>
      <c r="J174" s="20">
        <f>+Raw_Financials!J174/FXs!$C$10</f>
        <v>5224.839643640119</v>
      </c>
      <c r="K174" s="20">
        <f>+Raw_Financials!K174/FXs!$C$11</f>
        <v>8459.4725141462732</v>
      </c>
      <c r="L174" s="20">
        <f t="shared" si="10"/>
        <v>4232.3781158727961</v>
      </c>
      <c r="M174" s="20">
        <f t="shared" si="11"/>
        <v>6087.8883845141609</v>
      </c>
      <c r="N174" s="21">
        <f t="shared" si="12"/>
        <v>1855.5102686413647</v>
      </c>
      <c r="O174" s="21">
        <f t="shared" si="13"/>
        <v>-1334.1526900512981</v>
      </c>
      <c r="P174" s="21">
        <f t="shared" si="14"/>
        <v>11654.419190438255</v>
      </c>
    </row>
    <row r="175" spans="1:16" ht="16">
      <c r="A175" s="6" t="s">
        <v>172</v>
      </c>
      <c r="B175" s="20">
        <f>+Raw_Financials!B175/FXs!$C$2</f>
        <v>3604.487051466243</v>
      </c>
      <c r="C175" s="20">
        <f>+Raw_Financials!C175/FXs!$C$3</f>
        <v>3616.4287798802161</v>
      </c>
      <c r="D175" s="20">
        <f>+Raw_Financials!D175/FXs!$C$4</f>
        <v>4632.4266291097019</v>
      </c>
      <c r="E175" s="20">
        <f>+Raw_Financials!E175/FXs!$C$5</f>
        <v>4080.9370036059031</v>
      </c>
      <c r="F175" s="20">
        <f>+Raw_Financials!F175/FXs!$C$6</f>
        <v>4550.2637902385404</v>
      </c>
      <c r="G175" s="20">
        <f>+Raw_Financials!G175/FXs!$C$7</f>
        <v>3154.1842108967862</v>
      </c>
      <c r="H175" s="20">
        <f>+Raw_Financials!H175/FXs!$C$8</f>
        <v>2914.7096627601327</v>
      </c>
      <c r="I175" s="20">
        <f>+Raw_Financials!I175/FXs!$C$9</f>
        <v>4309.1505665792238</v>
      </c>
      <c r="J175" s="20">
        <f>+Raw_Financials!J175/FXs!$C$10</f>
        <v>6938.254509053525</v>
      </c>
      <c r="K175" s="20">
        <f>+Raw_Financials!K175/FXs!$C$11</f>
        <v>9290.0599895217838</v>
      </c>
      <c r="L175" s="20">
        <f t="shared" si="10"/>
        <v>3607.4724835697361</v>
      </c>
      <c r="M175" s="20">
        <f t="shared" si="11"/>
        <v>4611.8859193919116</v>
      </c>
      <c r="N175" s="21">
        <f t="shared" si="12"/>
        <v>1004.4134358221754</v>
      </c>
      <c r="O175" s="21">
        <f t="shared" si="13"/>
        <v>594.23217610320989</v>
      </c>
      <c r="P175" s="21">
        <f t="shared" si="14"/>
        <v>7625.1262268584378</v>
      </c>
    </row>
    <row r="176" spans="1:16" ht="16">
      <c r="A176" s="5" t="s">
        <v>173</v>
      </c>
      <c r="B176" s="20">
        <f>+Raw_Financials!B176/FXs!$C$2</f>
        <v>0</v>
      </c>
      <c r="C176" s="20">
        <f>+Raw_Financials!C176/FXs!$C$3</f>
        <v>0</v>
      </c>
      <c r="D176" s="20">
        <f>+Raw_Financials!D176/FXs!$C$4</f>
        <v>0</v>
      </c>
      <c r="E176" s="20">
        <f>+Raw_Financials!E176/FXs!$C$5</f>
        <v>0</v>
      </c>
      <c r="F176" s="20">
        <f>+Raw_Financials!F176/FXs!$C$6</f>
        <v>0</v>
      </c>
      <c r="G176" s="20">
        <f>+Raw_Financials!G176/FXs!$C$7</f>
        <v>0</v>
      </c>
      <c r="H176" s="20">
        <f>+Raw_Financials!H176/FXs!$C$8</f>
        <v>0</v>
      </c>
      <c r="I176" s="20">
        <f>+Raw_Financials!I176/FXs!$C$9</f>
        <v>0</v>
      </c>
      <c r="J176" s="20">
        <f>+Raw_Financials!J176/FXs!$C$10</f>
        <v>0</v>
      </c>
      <c r="K176" s="20">
        <f>+Raw_Financials!K176/FXs!$C$11</f>
        <v>0</v>
      </c>
      <c r="L176" s="20">
        <f t="shared" si="10"/>
        <v>0</v>
      </c>
      <c r="M176" s="20">
        <f t="shared" si="11"/>
        <v>0</v>
      </c>
      <c r="N176" s="21">
        <f t="shared" si="12"/>
        <v>0</v>
      </c>
      <c r="O176" s="21">
        <f t="shared" si="13"/>
        <v>0</v>
      </c>
      <c r="P176" s="21">
        <f t="shared" si="14"/>
        <v>0</v>
      </c>
    </row>
    <row r="177" spans="1:16" ht="16">
      <c r="A177" s="6" t="s">
        <v>174</v>
      </c>
      <c r="B177" s="20">
        <f>+Raw_Financials!B177/FXs!$C$2</f>
        <v>0</v>
      </c>
      <c r="C177" s="20">
        <f>+Raw_Financials!C177/FXs!$C$3</f>
        <v>0</v>
      </c>
      <c r="D177" s="20">
        <f>+Raw_Financials!D177/FXs!$C$4</f>
        <v>0</v>
      </c>
      <c r="E177" s="20">
        <f>+Raw_Financials!E177/FXs!$C$5</f>
        <v>0</v>
      </c>
      <c r="F177" s="20">
        <f>+Raw_Financials!F177/FXs!$C$6</f>
        <v>0</v>
      </c>
      <c r="G177" s="20">
        <f>+Raw_Financials!G177/FXs!$C$7</f>
        <v>0</v>
      </c>
      <c r="H177" s="20">
        <f>+Raw_Financials!H177/FXs!$C$8</f>
        <v>0</v>
      </c>
      <c r="I177" s="20">
        <f>+Raw_Financials!I177/FXs!$C$9</f>
        <v>0</v>
      </c>
      <c r="J177" s="20">
        <f>+Raw_Financials!J177/FXs!$C$10</f>
        <v>0</v>
      </c>
      <c r="K177" s="20">
        <f>+Raw_Financials!K177/FXs!$C$11</f>
        <v>0</v>
      </c>
      <c r="L177" s="20">
        <f t="shared" si="10"/>
        <v>0</v>
      </c>
      <c r="M177" s="20">
        <f t="shared" si="11"/>
        <v>0</v>
      </c>
      <c r="N177" s="21">
        <f t="shared" si="12"/>
        <v>0</v>
      </c>
      <c r="O177" s="21">
        <f t="shared" si="13"/>
        <v>0</v>
      </c>
      <c r="P177" s="21">
        <f t="shared" si="14"/>
        <v>0</v>
      </c>
    </row>
    <row r="178" spans="1:16" ht="16">
      <c r="A178" s="5" t="s">
        <v>175</v>
      </c>
      <c r="B178" s="20">
        <f>+Raw_Financials!B178/FXs!$C$2</f>
        <v>0</v>
      </c>
      <c r="C178" s="20">
        <f>+Raw_Financials!C178/FXs!$C$3</f>
        <v>0</v>
      </c>
      <c r="D178" s="20">
        <f>+Raw_Financials!D178/FXs!$C$4</f>
        <v>0</v>
      </c>
      <c r="E178" s="20">
        <f>+Raw_Financials!E178/FXs!$C$5</f>
        <v>0</v>
      </c>
      <c r="F178" s="20">
        <f>+Raw_Financials!F178/FXs!$C$6</f>
        <v>0</v>
      </c>
      <c r="G178" s="20">
        <f>+Raw_Financials!G178/FXs!$C$7</f>
        <v>0</v>
      </c>
      <c r="H178" s="20">
        <f>+Raw_Financials!H178/FXs!$C$8</f>
        <v>0</v>
      </c>
      <c r="I178" s="20">
        <f>+Raw_Financials!I178/FXs!$C$9</f>
        <v>0</v>
      </c>
      <c r="J178" s="20">
        <f>+Raw_Financials!J178/FXs!$C$10</f>
        <v>0</v>
      </c>
      <c r="K178" s="20">
        <f>+Raw_Financials!K178/FXs!$C$11</f>
        <v>0</v>
      </c>
      <c r="L178" s="20">
        <f t="shared" si="10"/>
        <v>0</v>
      </c>
      <c r="M178" s="20">
        <f t="shared" si="11"/>
        <v>0</v>
      </c>
      <c r="N178" s="21">
        <f t="shared" si="12"/>
        <v>0</v>
      </c>
      <c r="O178" s="21">
        <f t="shared" si="13"/>
        <v>0</v>
      </c>
      <c r="P178" s="21">
        <f t="shared" si="14"/>
        <v>0</v>
      </c>
    </row>
    <row r="179" spans="1:16" ht="16">
      <c r="A179" s="6" t="s">
        <v>176</v>
      </c>
      <c r="B179" s="20">
        <f>+Raw_Financials!B179/FXs!$C$2</f>
        <v>0</v>
      </c>
      <c r="C179" s="20">
        <f>+Raw_Financials!C179/FXs!$C$3</f>
        <v>0</v>
      </c>
      <c r="D179" s="20">
        <f>+Raw_Financials!D179/FXs!$C$4</f>
        <v>0</v>
      </c>
      <c r="E179" s="20">
        <f>+Raw_Financials!E179/FXs!$C$5</f>
        <v>0</v>
      </c>
      <c r="F179" s="20">
        <f>+Raw_Financials!F179/FXs!$C$6</f>
        <v>0</v>
      </c>
      <c r="G179" s="20">
        <f>+Raw_Financials!G179/FXs!$C$7</f>
        <v>0</v>
      </c>
      <c r="H179" s="20">
        <f>+Raw_Financials!H179/FXs!$C$8</f>
        <v>0</v>
      </c>
      <c r="I179" s="20">
        <f>+Raw_Financials!I179/FXs!$C$9</f>
        <v>0</v>
      </c>
      <c r="J179" s="20">
        <f>+Raw_Financials!J179/FXs!$C$10</f>
        <v>0</v>
      </c>
      <c r="K179" s="20">
        <f>+Raw_Financials!K179/FXs!$C$11</f>
        <v>0</v>
      </c>
      <c r="L179" s="20">
        <f t="shared" si="10"/>
        <v>0</v>
      </c>
      <c r="M179" s="20">
        <f t="shared" si="11"/>
        <v>0</v>
      </c>
      <c r="N179" s="21">
        <f t="shared" si="12"/>
        <v>0</v>
      </c>
      <c r="O179" s="21">
        <f t="shared" si="13"/>
        <v>0</v>
      </c>
      <c r="P179" s="21">
        <f t="shared" si="14"/>
        <v>0</v>
      </c>
    </row>
    <row r="180" spans="1:16" ht="16">
      <c r="A180" s="5" t="s">
        <v>177</v>
      </c>
      <c r="B180" s="20">
        <f>+Raw_Financials!B180/FXs!$C$2</f>
        <v>0</v>
      </c>
      <c r="C180" s="20">
        <f>+Raw_Financials!C180/FXs!$C$3</f>
        <v>0</v>
      </c>
      <c r="D180" s="20">
        <f>+Raw_Financials!D180/FXs!$C$4</f>
        <v>0</v>
      </c>
      <c r="E180" s="20">
        <f>+Raw_Financials!E180/FXs!$C$5</f>
        <v>0</v>
      </c>
      <c r="F180" s="20">
        <f>+Raw_Financials!F180/FXs!$C$6</f>
        <v>0</v>
      </c>
      <c r="G180" s="20">
        <f>+Raw_Financials!G180/FXs!$C$7</f>
        <v>0</v>
      </c>
      <c r="H180" s="20">
        <f>+Raw_Financials!H180/FXs!$C$8</f>
        <v>0</v>
      </c>
      <c r="I180" s="20">
        <f>+Raw_Financials!I180/FXs!$C$9</f>
        <v>0</v>
      </c>
      <c r="J180" s="20">
        <f>+Raw_Financials!J180/FXs!$C$10</f>
        <v>0</v>
      </c>
      <c r="K180" s="20">
        <f>+Raw_Financials!K180/FXs!$C$11</f>
        <v>0</v>
      </c>
      <c r="L180" s="20">
        <f t="shared" si="10"/>
        <v>0</v>
      </c>
      <c r="M180" s="20">
        <f t="shared" si="11"/>
        <v>0</v>
      </c>
      <c r="N180" s="21">
        <f t="shared" si="12"/>
        <v>0</v>
      </c>
      <c r="O180" s="21">
        <f t="shared" si="13"/>
        <v>0</v>
      </c>
      <c r="P180" s="21">
        <f t="shared" si="14"/>
        <v>0</v>
      </c>
    </row>
    <row r="181" spans="1:16" ht="16">
      <c r="A181" s="6" t="s">
        <v>178</v>
      </c>
      <c r="B181" s="20">
        <f>+Raw_Financials!B181/FXs!$C$2</f>
        <v>-1055.9499764517902</v>
      </c>
      <c r="C181" s="20">
        <f>+Raw_Financials!C181/FXs!$C$3</f>
        <v>-946.39232689390622</v>
      </c>
      <c r="D181" s="20">
        <f>+Raw_Financials!D181/FXs!$C$4</f>
        <v>-256.92745706159758</v>
      </c>
      <c r="E181" s="20">
        <f>+Raw_Financials!E181/FXs!$C$5</f>
        <v>-978.10966843341998</v>
      </c>
      <c r="F181" s="20">
        <f>+Raw_Financials!F181/FXs!$C$6</f>
        <v>-1222.6181403091798</v>
      </c>
      <c r="G181" s="20">
        <f>+Raw_Financials!G181/FXs!$C$7</f>
        <v>-892.44162638068133</v>
      </c>
      <c r="H181" s="20">
        <f>+Raw_Financials!H181/FXs!$C$8</f>
        <v>-644.36336634362999</v>
      </c>
      <c r="I181" s="20">
        <f>+Raw_Financials!I181/FXs!$C$9</f>
        <v>-803.18358941040015</v>
      </c>
      <c r="J181" s="20">
        <f>+Raw_Financials!J181/FXs!$C$10</f>
        <v>-764.99283808425969</v>
      </c>
      <c r="K181" s="20">
        <f>+Raw_Financials!K181/FXs!$C$11</f>
        <v>-3249.251919658162</v>
      </c>
      <c r="L181" s="20">
        <f t="shared" si="10"/>
        <v>-1036.4898994471978</v>
      </c>
      <c r="M181" s="20">
        <f t="shared" si="11"/>
        <v>-774.54052591579477</v>
      </c>
      <c r="N181" s="21">
        <f t="shared" si="12"/>
        <v>261.94937353140301</v>
      </c>
      <c r="O181" s="21">
        <f t="shared" si="13"/>
        <v>-1822.3380200414067</v>
      </c>
      <c r="P181" s="21">
        <f t="shared" si="14"/>
        <v>11.307594678414262</v>
      </c>
    </row>
    <row r="182" spans="1:16" ht="16">
      <c r="A182" s="5" t="s">
        <v>179</v>
      </c>
      <c r="B182" s="20">
        <f>+Raw_Financials!B182/FXs!$C$2</f>
        <v>0</v>
      </c>
      <c r="C182" s="20">
        <f>+Raw_Financials!C182/FXs!$C$3</f>
        <v>0</v>
      </c>
      <c r="D182" s="20">
        <f>+Raw_Financials!D182/FXs!$C$4</f>
        <v>0</v>
      </c>
      <c r="E182" s="20">
        <f>+Raw_Financials!E182/FXs!$C$5</f>
        <v>0</v>
      </c>
      <c r="F182" s="20">
        <f>+Raw_Financials!F182/FXs!$C$6</f>
        <v>0</v>
      </c>
      <c r="G182" s="20">
        <f>+Raw_Financials!G182/FXs!$C$7</f>
        <v>0</v>
      </c>
      <c r="H182" s="20">
        <f>+Raw_Financials!H182/FXs!$C$8</f>
        <v>0</v>
      </c>
      <c r="I182" s="20">
        <f>+Raw_Financials!I182/FXs!$C$9</f>
        <v>0</v>
      </c>
      <c r="J182" s="20">
        <f>+Raw_Financials!J182/FXs!$C$10</f>
        <v>0</v>
      </c>
      <c r="K182" s="20">
        <f>+Raw_Financials!K182/FXs!$C$11</f>
        <v>0</v>
      </c>
      <c r="L182" s="20">
        <f t="shared" si="10"/>
        <v>0</v>
      </c>
      <c r="M182" s="20">
        <f t="shared" si="11"/>
        <v>0</v>
      </c>
      <c r="N182" s="21">
        <f t="shared" si="12"/>
        <v>0</v>
      </c>
      <c r="O182" s="21">
        <f t="shared" si="13"/>
        <v>0</v>
      </c>
      <c r="P182" s="21">
        <f t="shared" si="14"/>
        <v>0</v>
      </c>
    </row>
    <row r="183" spans="1:16" ht="16">
      <c r="A183" s="6" t="s">
        <v>180</v>
      </c>
      <c r="B183" s="20">
        <f>+Raw_Financials!B183/FXs!$C$2</f>
        <v>0</v>
      </c>
      <c r="C183" s="20">
        <f>+Raw_Financials!C183/FXs!$C$3</f>
        <v>0</v>
      </c>
      <c r="D183" s="20">
        <f>+Raw_Financials!D183/FXs!$C$4</f>
        <v>0</v>
      </c>
      <c r="E183" s="20">
        <f>+Raw_Financials!E183/FXs!$C$5</f>
        <v>0</v>
      </c>
      <c r="F183" s="20">
        <f>+Raw_Financials!F183/FXs!$C$6</f>
        <v>0</v>
      </c>
      <c r="G183" s="20">
        <f>+Raw_Financials!G183/FXs!$C$7</f>
        <v>0</v>
      </c>
      <c r="H183" s="20">
        <f>+Raw_Financials!H183/FXs!$C$8</f>
        <v>0</v>
      </c>
      <c r="I183" s="20">
        <f>+Raw_Financials!I183/FXs!$C$9</f>
        <v>0</v>
      </c>
      <c r="J183" s="20">
        <f>+Raw_Financials!J183/FXs!$C$10</f>
        <v>0</v>
      </c>
      <c r="K183" s="20">
        <f>+Raw_Financials!K183/FXs!$C$11</f>
        <v>0</v>
      </c>
      <c r="L183" s="20">
        <f t="shared" si="10"/>
        <v>0</v>
      </c>
      <c r="M183" s="20">
        <f t="shared" si="11"/>
        <v>0</v>
      </c>
      <c r="N183" s="21">
        <f t="shared" si="12"/>
        <v>0</v>
      </c>
      <c r="O183" s="21">
        <f t="shared" si="13"/>
        <v>0</v>
      </c>
      <c r="P183" s="21">
        <f t="shared" si="14"/>
        <v>0</v>
      </c>
    </row>
    <row r="184" spans="1:16" ht="16">
      <c r="A184" s="5" t="s">
        <v>181</v>
      </c>
      <c r="B184" s="20">
        <f>+Raw_Financials!B184/FXs!$C$2</f>
        <v>0</v>
      </c>
      <c r="C184" s="20">
        <f>+Raw_Financials!C184/FXs!$C$3</f>
        <v>0</v>
      </c>
      <c r="D184" s="20">
        <f>+Raw_Financials!D184/FXs!$C$4</f>
        <v>0</v>
      </c>
      <c r="E184" s="20">
        <f>+Raw_Financials!E184/FXs!$C$5</f>
        <v>0</v>
      </c>
      <c r="F184" s="20">
        <f>+Raw_Financials!F184/FXs!$C$6</f>
        <v>0</v>
      </c>
      <c r="G184" s="20">
        <f>+Raw_Financials!G184/FXs!$C$7</f>
        <v>0</v>
      </c>
      <c r="H184" s="20">
        <f>+Raw_Financials!H184/FXs!$C$8</f>
        <v>0</v>
      </c>
      <c r="I184" s="20">
        <f>+Raw_Financials!I184/FXs!$C$9</f>
        <v>0</v>
      </c>
      <c r="J184" s="20">
        <f>+Raw_Financials!J184/FXs!$C$10</f>
        <v>0</v>
      </c>
      <c r="K184" s="20">
        <f>+Raw_Financials!K184/FXs!$C$11</f>
        <v>0</v>
      </c>
      <c r="L184" s="20">
        <f t="shared" si="10"/>
        <v>0</v>
      </c>
      <c r="M184" s="20">
        <f t="shared" si="11"/>
        <v>0</v>
      </c>
      <c r="N184" s="21">
        <f t="shared" si="12"/>
        <v>0</v>
      </c>
      <c r="O184" s="21">
        <f t="shared" si="13"/>
        <v>0</v>
      </c>
      <c r="P184" s="21">
        <f t="shared" si="14"/>
        <v>0</v>
      </c>
    </row>
    <row r="185" spans="1:16" ht="16">
      <c r="A185" s="6" t="s">
        <v>182</v>
      </c>
      <c r="B185" s="20">
        <f>+Raw_Financials!B185/FXs!$C$2</f>
        <v>0</v>
      </c>
      <c r="C185" s="20">
        <f>+Raw_Financials!C185/FXs!$C$3</f>
        <v>0</v>
      </c>
      <c r="D185" s="20">
        <f>+Raw_Financials!D185/FXs!$C$4</f>
        <v>0</v>
      </c>
      <c r="E185" s="20">
        <f>+Raw_Financials!E185/FXs!$C$5</f>
        <v>0</v>
      </c>
      <c r="F185" s="20">
        <f>+Raw_Financials!F185/FXs!$C$6</f>
        <v>0</v>
      </c>
      <c r="G185" s="20">
        <f>+Raw_Financials!G185/FXs!$C$7</f>
        <v>0</v>
      </c>
      <c r="H185" s="20">
        <f>+Raw_Financials!H185/FXs!$C$8</f>
        <v>0</v>
      </c>
      <c r="I185" s="20">
        <f>+Raw_Financials!I185/FXs!$C$9</f>
        <v>0</v>
      </c>
      <c r="J185" s="20">
        <f>+Raw_Financials!J185/FXs!$C$10</f>
        <v>0</v>
      </c>
      <c r="K185" s="20">
        <f>+Raw_Financials!K185/FXs!$C$11</f>
        <v>0</v>
      </c>
      <c r="L185" s="20">
        <f t="shared" si="10"/>
        <v>0</v>
      </c>
      <c r="M185" s="20">
        <f t="shared" si="11"/>
        <v>0</v>
      </c>
      <c r="N185" s="21">
        <f t="shared" si="12"/>
        <v>0</v>
      </c>
      <c r="O185" s="21">
        <f t="shared" si="13"/>
        <v>0</v>
      </c>
      <c r="P185" s="21">
        <f t="shared" si="14"/>
        <v>0</v>
      </c>
    </row>
    <row r="186" spans="1:16" ht="16">
      <c r="A186" s="5" t="s">
        <v>183</v>
      </c>
      <c r="B186" s="20">
        <f>+Raw_Financials!B186/FXs!$C$2</f>
        <v>0</v>
      </c>
      <c r="C186" s="20">
        <f>+Raw_Financials!C186/FXs!$C$3</f>
        <v>0</v>
      </c>
      <c r="D186" s="20">
        <f>+Raw_Financials!D186/FXs!$C$4</f>
        <v>152.69960570185168</v>
      </c>
      <c r="E186" s="20">
        <f>+Raw_Financials!E186/FXs!$C$5</f>
        <v>90.628303685050497</v>
      </c>
      <c r="F186" s="20">
        <f>+Raw_Financials!F186/FXs!$C$6</f>
        <v>65.089458824335239</v>
      </c>
      <c r="G186" s="20">
        <f>+Raw_Financials!G186/FXs!$C$7</f>
        <v>81.032601381314294</v>
      </c>
      <c r="H186" s="20">
        <f>+Raw_Financials!H186/FXs!$C$8</f>
        <v>328.15333752844833</v>
      </c>
      <c r="I186" s="20">
        <f>+Raw_Financials!I186/FXs!$C$9</f>
        <v>100.64314011277294</v>
      </c>
      <c r="J186" s="20">
        <f>+Raw_Financials!J186/FXs!$C$10</f>
        <v>285.96038582790504</v>
      </c>
      <c r="K186" s="20">
        <f>+Raw_Financials!K186/FXs!$C$11</f>
        <v>225.51581417039191</v>
      </c>
      <c r="L186" s="20">
        <f t="shared" si="10"/>
        <v>69.075244463580006</v>
      </c>
      <c r="M186" s="20">
        <f t="shared" si="11"/>
        <v>207.31176205325684</v>
      </c>
      <c r="N186" s="21">
        <f t="shared" si="12"/>
        <v>138.23651758967685</v>
      </c>
      <c r="O186" s="21">
        <f t="shared" si="13"/>
        <v>-345.63430830545053</v>
      </c>
      <c r="P186" s="21">
        <f t="shared" si="14"/>
        <v>622.02131482228742</v>
      </c>
    </row>
    <row r="187" spans="1:16" ht="16">
      <c r="A187" s="6" t="s">
        <v>184</v>
      </c>
      <c r="B187" s="20">
        <f>+Raw_Financials!B187/FXs!$C$2</f>
        <v>0</v>
      </c>
      <c r="C187" s="20">
        <f>+Raw_Financials!C187/FXs!$C$3</f>
        <v>0</v>
      </c>
      <c r="D187" s="20">
        <f>+Raw_Financials!D187/FXs!$C$4</f>
        <v>0</v>
      </c>
      <c r="E187" s="20">
        <f>+Raw_Financials!E187/FXs!$C$5</f>
        <v>0</v>
      </c>
      <c r="F187" s="20">
        <f>+Raw_Financials!F187/FXs!$C$6</f>
        <v>0</v>
      </c>
      <c r="G187" s="20">
        <f>+Raw_Financials!G187/FXs!$C$7</f>
        <v>0</v>
      </c>
      <c r="H187" s="20">
        <f>+Raw_Financials!H187/FXs!$C$8</f>
        <v>0</v>
      </c>
      <c r="I187" s="20">
        <f>+Raw_Financials!I187/FXs!$C$9</f>
        <v>0</v>
      </c>
      <c r="J187" s="20">
        <f>+Raw_Financials!J187/FXs!$C$10</f>
        <v>0</v>
      </c>
      <c r="K187" s="20">
        <f>+Raw_Financials!K187/FXs!$C$11</f>
        <v>0</v>
      </c>
      <c r="L187" s="20">
        <f t="shared" si="10"/>
        <v>0</v>
      </c>
      <c r="M187" s="20">
        <f t="shared" si="11"/>
        <v>0</v>
      </c>
      <c r="N187" s="21">
        <f t="shared" si="12"/>
        <v>0</v>
      </c>
      <c r="O187" s="21">
        <f t="shared" si="13"/>
        <v>0</v>
      </c>
      <c r="P187" s="21">
        <f t="shared" si="14"/>
        <v>0</v>
      </c>
    </row>
    <row r="188" spans="1:16" ht="16">
      <c r="A188" s="5" t="s">
        <v>185</v>
      </c>
      <c r="B188" s="20">
        <f>+Raw_Financials!B188/FXs!$C$2</f>
        <v>24970.888333800285</v>
      </c>
      <c r="C188" s="20">
        <f>+Raw_Financials!C188/FXs!$C$3</f>
        <v>22319.345722310925</v>
      </c>
      <c r="D188" s="20">
        <f>+Raw_Financials!D188/FXs!$C$4</f>
        <v>22422.550153585467</v>
      </c>
      <c r="E188" s="20">
        <f>+Raw_Financials!E188/FXs!$C$5</f>
        <v>21456.223806096499</v>
      </c>
      <c r="F188" s="20">
        <f>+Raw_Financials!F188/FXs!$C$6</f>
        <v>19895.581470678375</v>
      </c>
      <c r="G188" s="20">
        <f>+Raw_Financials!G188/FXs!$C$7</f>
        <v>16325.657853022092</v>
      </c>
      <c r="H188" s="20">
        <f>+Raw_Financials!H188/FXs!$C$8</f>
        <v>10864.443747400746</v>
      </c>
      <c r="I188" s="20">
        <f>+Raw_Financials!I188/FXs!$C$9</f>
        <v>35043.278961926699</v>
      </c>
      <c r="J188" s="20">
        <f>+Raw_Financials!J188/FXs!$C$10</f>
        <v>26654.310034327886</v>
      </c>
      <c r="K188" s="20">
        <f>+Raw_Financials!K188/FXs!$C$11</f>
        <v>29910.932168018349</v>
      </c>
      <c r="L188" s="20">
        <f t="shared" si="10"/>
        <v>20285.742054532908</v>
      </c>
      <c r="M188" s="20">
        <f t="shared" si="11"/>
        <v>26233.454609195986</v>
      </c>
      <c r="N188" s="21">
        <f t="shared" si="12"/>
        <v>5947.7125546630778</v>
      </c>
      <c r="O188" s="21">
        <f t="shared" si="13"/>
        <v>2442.6043905436745</v>
      </c>
      <c r="P188" s="21">
        <f t="shared" si="14"/>
        <v>44076.592273185219</v>
      </c>
    </row>
    <row r="189" spans="1:16" ht="16">
      <c r="A189" s="6" t="s">
        <v>186</v>
      </c>
      <c r="B189" s="20">
        <f>+Raw_Financials!B189/FXs!$C$2</f>
        <v>0</v>
      </c>
      <c r="C189" s="20">
        <f>+Raw_Financials!C189/FXs!$C$3</f>
        <v>0</v>
      </c>
      <c r="D189" s="20">
        <f>+Raw_Financials!D189/FXs!$C$4</f>
        <v>0</v>
      </c>
      <c r="E189" s="20">
        <f>+Raw_Financials!E189/FXs!$C$5</f>
        <v>0</v>
      </c>
      <c r="F189" s="20">
        <f>+Raw_Financials!F189/FXs!$C$6</f>
        <v>0</v>
      </c>
      <c r="G189" s="20">
        <f>+Raw_Financials!G189/FXs!$C$7</f>
        <v>0</v>
      </c>
      <c r="H189" s="20">
        <f>+Raw_Financials!H189/FXs!$C$8</f>
        <v>0</v>
      </c>
      <c r="I189" s="20">
        <f>+Raw_Financials!I189/FXs!$C$9</f>
        <v>0</v>
      </c>
      <c r="J189" s="20">
        <f>+Raw_Financials!J189/FXs!$C$10</f>
        <v>0</v>
      </c>
      <c r="K189" s="20">
        <f>+Raw_Financials!K189/FXs!$C$11</f>
        <v>0</v>
      </c>
      <c r="L189" s="20">
        <f t="shared" si="10"/>
        <v>0</v>
      </c>
      <c r="M189" s="20">
        <f t="shared" si="11"/>
        <v>0</v>
      </c>
      <c r="N189" s="21">
        <f t="shared" si="12"/>
        <v>0</v>
      </c>
      <c r="O189" s="21">
        <f t="shared" si="13"/>
        <v>0</v>
      </c>
      <c r="P189" s="21">
        <f t="shared" si="14"/>
        <v>0</v>
      </c>
    </row>
    <row r="190" spans="1:16" ht="16">
      <c r="A190" s="5" t="s">
        <v>187</v>
      </c>
      <c r="B190" s="20">
        <f>+Raw_Financials!B190/FXs!$C$2</f>
        <v>0</v>
      </c>
      <c r="C190" s="20">
        <f>+Raw_Financials!C190/FXs!$C$3</f>
        <v>0</v>
      </c>
      <c r="D190" s="20">
        <f>+Raw_Financials!D190/FXs!$C$4</f>
        <v>0</v>
      </c>
      <c r="E190" s="20">
        <f>+Raw_Financials!E190/FXs!$C$5</f>
        <v>0</v>
      </c>
      <c r="F190" s="20">
        <f>+Raw_Financials!F190/FXs!$C$6</f>
        <v>0</v>
      </c>
      <c r="G190" s="20">
        <f>+Raw_Financials!G190/FXs!$C$7</f>
        <v>0</v>
      </c>
      <c r="H190" s="20">
        <f>+Raw_Financials!H190/FXs!$C$8</f>
        <v>0</v>
      </c>
      <c r="I190" s="20">
        <f>+Raw_Financials!I190/FXs!$C$9</f>
        <v>0</v>
      </c>
      <c r="J190" s="20">
        <f>+Raw_Financials!J190/FXs!$C$10</f>
        <v>0</v>
      </c>
      <c r="K190" s="20">
        <f>+Raw_Financials!K190/FXs!$C$11</f>
        <v>0</v>
      </c>
      <c r="L190" s="20">
        <f t="shared" si="10"/>
        <v>0</v>
      </c>
      <c r="M190" s="20">
        <f t="shared" si="11"/>
        <v>0</v>
      </c>
      <c r="N190" s="21">
        <f t="shared" si="12"/>
        <v>0</v>
      </c>
      <c r="O190" s="21">
        <f t="shared" si="13"/>
        <v>0</v>
      </c>
      <c r="P190" s="21">
        <f t="shared" si="14"/>
        <v>0</v>
      </c>
    </row>
    <row r="191" spans="1:16" ht="16">
      <c r="A191" s="6" t="s">
        <v>188</v>
      </c>
      <c r="B191" s="20">
        <f>+Raw_Financials!B191/FXs!$C$2</f>
        <v>0</v>
      </c>
      <c r="C191" s="20">
        <f>+Raw_Financials!C191/FXs!$C$3</f>
        <v>0</v>
      </c>
      <c r="D191" s="20">
        <f>+Raw_Financials!D191/FXs!$C$4</f>
        <v>0</v>
      </c>
      <c r="E191" s="20">
        <f>+Raw_Financials!E191/FXs!$C$5</f>
        <v>0</v>
      </c>
      <c r="F191" s="20">
        <f>+Raw_Financials!F191/FXs!$C$6</f>
        <v>0</v>
      </c>
      <c r="G191" s="20">
        <f>+Raw_Financials!G191/FXs!$C$7</f>
        <v>0</v>
      </c>
      <c r="H191" s="20">
        <f>+Raw_Financials!H191/FXs!$C$8</f>
        <v>0</v>
      </c>
      <c r="I191" s="20">
        <f>+Raw_Financials!I191/FXs!$C$9</f>
        <v>0</v>
      </c>
      <c r="J191" s="20">
        <f>+Raw_Financials!J191/FXs!$C$10</f>
        <v>0</v>
      </c>
      <c r="K191" s="20">
        <f>+Raw_Financials!K191/FXs!$C$11</f>
        <v>0</v>
      </c>
      <c r="L191" s="20">
        <f t="shared" si="10"/>
        <v>0</v>
      </c>
      <c r="M191" s="20">
        <f t="shared" si="11"/>
        <v>0</v>
      </c>
      <c r="N191" s="21">
        <f t="shared" si="12"/>
        <v>0</v>
      </c>
      <c r="O191" s="21">
        <f t="shared" si="13"/>
        <v>0</v>
      </c>
      <c r="P191" s="21">
        <f t="shared" si="14"/>
        <v>0</v>
      </c>
    </row>
    <row r="192" spans="1:16" ht="16">
      <c r="A192" s="5" t="s">
        <v>189</v>
      </c>
      <c r="B192" s="20">
        <f>+Raw_Financials!B192/FXs!$C$2</f>
        <v>0</v>
      </c>
      <c r="C192" s="20">
        <f>+Raw_Financials!C192/FXs!$C$3</f>
        <v>0</v>
      </c>
      <c r="D192" s="20">
        <f>+Raw_Financials!D192/FXs!$C$4</f>
        <v>0</v>
      </c>
      <c r="E192" s="20">
        <f>+Raw_Financials!E192/FXs!$C$5</f>
        <v>0</v>
      </c>
      <c r="F192" s="20">
        <f>+Raw_Financials!F192/FXs!$C$6</f>
        <v>0</v>
      </c>
      <c r="G192" s="20">
        <f>+Raw_Financials!G192/FXs!$C$7</f>
        <v>0</v>
      </c>
      <c r="H192" s="20">
        <f>+Raw_Financials!H192/FXs!$C$8</f>
        <v>0</v>
      </c>
      <c r="I192" s="20">
        <f>+Raw_Financials!I192/FXs!$C$9</f>
        <v>0</v>
      </c>
      <c r="J192" s="20">
        <f>+Raw_Financials!J192/FXs!$C$10</f>
        <v>0</v>
      </c>
      <c r="K192" s="20">
        <f>+Raw_Financials!K192/FXs!$C$11</f>
        <v>0</v>
      </c>
      <c r="L192" s="20">
        <f t="shared" si="10"/>
        <v>0</v>
      </c>
      <c r="M192" s="20">
        <f t="shared" si="11"/>
        <v>0</v>
      </c>
      <c r="N192" s="21">
        <f t="shared" si="12"/>
        <v>0</v>
      </c>
      <c r="O192" s="21">
        <f t="shared" si="13"/>
        <v>0</v>
      </c>
      <c r="P192" s="21">
        <f t="shared" si="14"/>
        <v>0</v>
      </c>
    </row>
    <row r="193" spans="1:16" ht="16">
      <c r="A193" s="7" t="s">
        <v>190</v>
      </c>
      <c r="B193" s="20">
        <f>+Raw_Financials!B193/FXs!$C$2</f>
        <v>100526.73228369912</v>
      </c>
      <c r="C193" s="20">
        <f>+Raw_Financials!C193/FXs!$C$3</f>
        <v>-14715.907494358653</v>
      </c>
      <c r="D193" s="20">
        <f>+Raw_Financials!D193/FXs!$C$4</f>
        <v>2837.9391548207832</v>
      </c>
      <c r="E193" s="20">
        <f>+Raw_Financials!E193/FXs!$C$5</f>
        <v>18576.958159754351</v>
      </c>
      <c r="F193" s="20">
        <f>+Raw_Financials!F193/FXs!$C$6</f>
        <v>14040.123867262311</v>
      </c>
      <c r="G193" s="20">
        <f>+Raw_Financials!G193/FXs!$C$7</f>
        <v>4666.5300687841573</v>
      </c>
      <c r="H193" s="20">
        <f>+Raw_Financials!H193/FXs!$C$8</f>
        <v>20819.621134648358</v>
      </c>
      <c r="I193" s="20">
        <f>+Raw_Financials!I193/FXs!$C$9</f>
        <v>28436.751720005464</v>
      </c>
      <c r="J193" s="20">
        <f>+Raw_Financials!J193/FXs!$C$10</f>
        <v>22136.236322217563</v>
      </c>
      <c r="K193" s="20">
        <f>+Raw_Financials!K193/FXs!$C$11</f>
        <v>21158.777042003952</v>
      </c>
      <c r="L193" s="20">
        <f t="shared" si="10"/>
        <v>7009.9285184036962</v>
      </c>
      <c r="M193" s="20">
        <f t="shared" si="11"/>
        <v>21891.871502164162</v>
      </c>
      <c r="N193" s="21">
        <f t="shared" si="12"/>
        <v>14881.942983760466</v>
      </c>
      <c r="O193" s="21">
        <f t="shared" si="13"/>
        <v>-37635.900432877694</v>
      </c>
      <c r="P193" s="21">
        <f t="shared" si="14"/>
        <v>66537.700453445548</v>
      </c>
    </row>
    <row r="194" spans="1:16" ht="16">
      <c r="A194" s="5" t="s">
        <v>191</v>
      </c>
      <c r="B194" s="20">
        <f>+Raw_Financials!B194/FXs!$C$2</f>
        <v>305.78478129974138</v>
      </c>
      <c r="C194" s="20">
        <f>+Raw_Financials!C194/FXs!$C$3</f>
        <v>416.18895623035672</v>
      </c>
      <c r="D194" s="20">
        <f>+Raw_Financials!D194/FXs!$C$4</f>
        <v>369.67155434655791</v>
      </c>
      <c r="E194" s="20">
        <f>+Raw_Financials!E194/FXs!$C$5</f>
        <v>737.92944540270764</v>
      </c>
      <c r="F194" s="20">
        <f>+Raw_Financials!F194/FXs!$C$6</f>
        <v>688.20735074492904</v>
      </c>
      <c r="G194" s="20">
        <f>+Raw_Financials!G194/FXs!$C$7</f>
        <v>1074.5821679256924</v>
      </c>
      <c r="H194" s="20">
        <f>+Raw_Financials!H194/FXs!$C$8</f>
        <v>358.96903283696594</v>
      </c>
      <c r="I194" s="20">
        <f>+Raw_Financials!I194/FXs!$C$9</f>
        <v>725.88829191639127</v>
      </c>
      <c r="J194" s="20">
        <f>+Raw_Financials!J194/FXs!$C$10</f>
        <v>2185.2927459720099</v>
      </c>
      <c r="K194" s="20">
        <f>+Raw_Financials!K194/FXs!$C$11</f>
        <v>36707.761439519039</v>
      </c>
      <c r="L194" s="20">
        <f t="shared" si="10"/>
        <v>381.30090481750761</v>
      </c>
      <c r="M194" s="20">
        <f t="shared" si="11"/>
        <v>990.41898729494619</v>
      </c>
      <c r="N194" s="21">
        <f t="shared" si="12"/>
        <v>609.11808247743852</v>
      </c>
      <c r="O194" s="21">
        <f t="shared" si="13"/>
        <v>-1446.0533426148079</v>
      </c>
      <c r="P194" s="21">
        <f t="shared" si="14"/>
        <v>2817.7732347272618</v>
      </c>
    </row>
    <row r="195" spans="1:16" ht="16">
      <c r="A195" s="6" t="s">
        <v>192</v>
      </c>
      <c r="B195" s="20">
        <f>+Raw_Financials!B195/FXs!$C$2</f>
        <v>3673.2562849869682</v>
      </c>
      <c r="C195" s="20">
        <f>+Raw_Financials!C195/FXs!$C$3</f>
        <v>3089.5493535392243</v>
      </c>
      <c r="D195" s="20">
        <f>+Raw_Financials!D195/FXs!$C$4</f>
        <v>6445.5566460152477</v>
      </c>
      <c r="E195" s="20">
        <f>+Raw_Financials!E195/FXs!$C$5</f>
        <v>4852.298386590166</v>
      </c>
      <c r="F195" s="20">
        <f>+Raw_Financials!F195/FXs!$C$6</f>
        <v>8801.127341587995</v>
      </c>
      <c r="G195" s="20">
        <f>+Raw_Financials!G195/FXs!$C$7</f>
        <v>12526.633732110637</v>
      </c>
      <c r="H195" s="20">
        <f>+Raw_Financials!H195/FXs!$C$8</f>
        <v>8299.847513493205</v>
      </c>
      <c r="I195" s="20">
        <f>+Raw_Financials!I195/FXs!$C$9</f>
        <v>9758.8361597051589</v>
      </c>
      <c r="J195" s="20">
        <f>+Raw_Financials!J195/FXs!$C$10</f>
        <v>12209.954109594169</v>
      </c>
      <c r="K195" s="20">
        <f>+Raw_Financials!K195/FXs!$C$11</f>
        <v>21576.137974467591</v>
      </c>
      <c r="L195" s="20">
        <f t="shared" si="10"/>
        <v>5250.6129514464365</v>
      </c>
      <c r="M195" s="20">
        <f t="shared" si="11"/>
        <v>11597.174622121916</v>
      </c>
      <c r="N195" s="21">
        <f t="shared" si="12"/>
        <v>6346.5616706754799</v>
      </c>
      <c r="O195" s="21">
        <f t="shared" si="13"/>
        <v>-13789.072060580002</v>
      </c>
      <c r="P195" s="21">
        <f t="shared" si="14"/>
        <v>30636.859634148357</v>
      </c>
    </row>
    <row r="196" spans="1:16" ht="16">
      <c r="A196" s="5" t="s">
        <v>193</v>
      </c>
      <c r="B196" s="20">
        <f>+Raw_Financials!B196/FXs!$C$2</f>
        <v>0</v>
      </c>
      <c r="C196" s="20">
        <f>+Raw_Financials!C196/FXs!$C$3</f>
        <v>0</v>
      </c>
      <c r="D196" s="20">
        <f>+Raw_Financials!D196/FXs!$C$4</f>
        <v>0</v>
      </c>
      <c r="E196" s="20">
        <f>+Raw_Financials!E196/FXs!$C$5</f>
        <v>0</v>
      </c>
      <c r="F196" s="20">
        <f>+Raw_Financials!F196/FXs!$C$6</f>
        <v>0</v>
      </c>
      <c r="G196" s="20">
        <f>+Raw_Financials!G196/FXs!$C$7</f>
        <v>0</v>
      </c>
      <c r="H196" s="20">
        <f>+Raw_Financials!H196/FXs!$C$8</f>
        <v>0</v>
      </c>
      <c r="I196" s="20">
        <f>+Raw_Financials!I196/FXs!$C$9</f>
        <v>0</v>
      </c>
      <c r="J196" s="20">
        <f>+Raw_Financials!J196/FXs!$C$10</f>
        <v>0</v>
      </c>
      <c r="K196" s="20">
        <f>+Raw_Financials!K196/FXs!$C$11</f>
        <v>0</v>
      </c>
      <c r="L196" s="20">
        <f t="shared" ref="L196:L225" si="15">QUARTILE(B196:K196, 1)</f>
        <v>0</v>
      </c>
      <c r="M196" s="20">
        <f t="shared" ref="M196:M225" si="16">QUARTILE(B196:K196, 3)</f>
        <v>0</v>
      </c>
      <c r="N196" s="21">
        <f t="shared" ref="N196:N225" si="17">M196 - L196</f>
        <v>0</v>
      </c>
      <c r="O196" s="21">
        <f t="shared" ref="O196:O225" si="18">L196 - (3 * N196)</f>
        <v>0</v>
      </c>
      <c r="P196" s="21">
        <f t="shared" ref="P196:P225" si="19">M196 + (3 * N196)</f>
        <v>0</v>
      </c>
    </row>
    <row r="197" spans="1:16" ht="16">
      <c r="A197" s="6" t="s">
        <v>194</v>
      </c>
      <c r="B197" s="20">
        <f>+Raw_Financials!B197/FXs!$C$2</f>
        <v>0</v>
      </c>
      <c r="C197" s="20">
        <f>+Raw_Financials!C197/FXs!$C$3</f>
        <v>0</v>
      </c>
      <c r="D197" s="20">
        <f>+Raw_Financials!D197/FXs!$C$4</f>
        <v>0</v>
      </c>
      <c r="E197" s="20">
        <f>+Raw_Financials!E197/FXs!$C$5</f>
        <v>0</v>
      </c>
      <c r="F197" s="20">
        <f>+Raw_Financials!F197/FXs!$C$6</f>
        <v>0</v>
      </c>
      <c r="G197" s="20">
        <f>+Raw_Financials!G197/FXs!$C$7</f>
        <v>0</v>
      </c>
      <c r="H197" s="20">
        <f>+Raw_Financials!H197/FXs!$C$8</f>
        <v>0</v>
      </c>
      <c r="I197" s="20">
        <f>+Raw_Financials!I197/FXs!$C$9</f>
        <v>0</v>
      </c>
      <c r="J197" s="20">
        <f>+Raw_Financials!J197/FXs!$C$10</f>
        <v>0</v>
      </c>
      <c r="K197" s="20">
        <f>+Raw_Financials!K197/FXs!$C$11</f>
        <v>0</v>
      </c>
      <c r="L197" s="20">
        <f t="shared" si="15"/>
        <v>0</v>
      </c>
      <c r="M197" s="20">
        <f t="shared" si="16"/>
        <v>0</v>
      </c>
      <c r="N197" s="21">
        <f t="shared" si="17"/>
        <v>0</v>
      </c>
      <c r="O197" s="21">
        <f t="shared" si="18"/>
        <v>0</v>
      </c>
      <c r="P197" s="21">
        <f t="shared" si="19"/>
        <v>0</v>
      </c>
    </row>
    <row r="198" spans="1:16" ht="16">
      <c r="A198" s="7" t="s">
        <v>195</v>
      </c>
      <c r="B198" s="20">
        <f>+Raw_Financials!B198/FXs!$C$2</f>
        <v>-3367.4715036872267</v>
      </c>
      <c r="C198" s="20">
        <f>+Raw_Financials!C198/FXs!$C$3</f>
        <v>-2673.360397308868</v>
      </c>
      <c r="D198" s="20">
        <f>+Raw_Financials!D198/FXs!$C$4</f>
        <v>-6075.8850916686897</v>
      </c>
      <c r="E198" s="20">
        <f>+Raw_Financials!E198/FXs!$C$5</f>
        <v>-4114.3689411874584</v>
      </c>
      <c r="F198" s="20">
        <f>+Raw_Financials!F198/FXs!$C$6</f>
        <v>-8112.9199908430664</v>
      </c>
      <c r="G198" s="20">
        <f>+Raw_Financials!G198/FXs!$C$7</f>
        <v>-11452.051564184945</v>
      </c>
      <c r="H198" s="20">
        <f>+Raw_Financials!H198/FXs!$C$8</f>
        <v>-7940.8784806562389</v>
      </c>
      <c r="I198" s="20">
        <f>+Raw_Financials!I198/FXs!$C$9</f>
        <v>-9032.9478677887691</v>
      </c>
      <c r="J198" s="20">
        <f>+Raw_Financials!J198/FXs!$C$10</f>
        <v>-10024.661363622159</v>
      </c>
      <c r="K198" s="20">
        <f>+Raw_Financials!K198/FXs!$C$11</f>
        <v>15131.623465051447</v>
      </c>
      <c r="L198" s="20">
        <f t="shared" si="15"/>
        <v>-8802.9408985523442</v>
      </c>
      <c r="M198" s="20">
        <f t="shared" si="16"/>
        <v>-3554.1958630622848</v>
      </c>
      <c r="N198" s="21">
        <f t="shared" si="17"/>
        <v>5248.7450354900593</v>
      </c>
      <c r="O198" s="21">
        <f t="shared" si="18"/>
        <v>-24549.17600502252</v>
      </c>
      <c r="P198" s="21">
        <f t="shared" si="19"/>
        <v>12192.039243407893</v>
      </c>
    </row>
    <row r="199" spans="1:16" ht="16">
      <c r="A199" s="6" t="s">
        <v>196</v>
      </c>
      <c r="B199" s="20">
        <f>+Raw_Financials!B199/FXs!$C$2</f>
        <v>191.60062238808609</v>
      </c>
      <c r="C199" s="20">
        <f>+Raw_Financials!C199/FXs!$C$3</f>
        <v>295.24232506995924</v>
      </c>
      <c r="D199" s="20">
        <f>+Raw_Financials!D199/FXs!$C$4</f>
        <v>1450.9029006779408</v>
      </c>
      <c r="E199" s="20">
        <f>+Raw_Financials!E199/FXs!$C$5</f>
        <v>458.45669783161674</v>
      </c>
      <c r="F199" s="20">
        <f>+Raw_Financials!F199/FXs!$C$6</f>
        <v>0</v>
      </c>
      <c r="G199" s="20">
        <f>+Raw_Financials!G199/FXs!$C$7</f>
        <v>0</v>
      </c>
      <c r="H199" s="20">
        <f>+Raw_Financials!H199/FXs!$C$8</f>
        <v>0</v>
      </c>
      <c r="I199" s="20">
        <f>+Raw_Financials!I199/FXs!$C$9</f>
        <v>384.58014898541478</v>
      </c>
      <c r="J199" s="20">
        <f>+Raw_Financials!J199/FXs!$C$10</f>
        <v>0</v>
      </c>
      <c r="K199" s="20">
        <f>+Raw_Financials!K199/FXs!$C$11</f>
        <v>0</v>
      </c>
      <c r="L199" s="20">
        <f t="shared" si="15"/>
        <v>0</v>
      </c>
      <c r="M199" s="20">
        <f t="shared" si="16"/>
        <v>362.24569300655088</v>
      </c>
      <c r="N199" s="21">
        <f t="shared" si="17"/>
        <v>362.24569300655088</v>
      </c>
      <c r="O199" s="21">
        <f t="shared" si="18"/>
        <v>-1086.7370790196526</v>
      </c>
      <c r="P199" s="21">
        <f t="shared" si="19"/>
        <v>1448.9827720262035</v>
      </c>
    </row>
    <row r="200" spans="1:16" ht="16">
      <c r="A200" s="5" t="s">
        <v>197</v>
      </c>
      <c r="B200" s="20">
        <f>+Raw_Financials!B200/FXs!$C$2</f>
        <v>0</v>
      </c>
      <c r="C200" s="20">
        <f>+Raw_Financials!C200/FXs!$C$3</f>
        <v>0</v>
      </c>
      <c r="D200" s="20">
        <f>+Raw_Financials!D200/FXs!$C$4</f>
        <v>3.8204594452103412E-2</v>
      </c>
      <c r="E200" s="20">
        <f>+Raw_Financials!E200/FXs!$C$5</f>
        <v>2.7487108336638939</v>
      </c>
      <c r="F200" s="20">
        <f>+Raw_Financials!F200/FXs!$C$6</f>
        <v>0</v>
      </c>
      <c r="G200" s="20">
        <f>+Raw_Financials!G200/FXs!$C$7</f>
        <v>29.731389845397558</v>
      </c>
      <c r="H200" s="20">
        <f>+Raw_Financials!H200/FXs!$C$8</f>
        <v>0</v>
      </c>
      <c r="I200" s="20">
        <f>+Raw_Financials!I200/FXs!$C$9</f>
        <v>2.4115510399297042</v>
      </c>
      <c r="J200" s="20">
        <f>+Raw_Financials!J200/FXs!$C$10</f>
        <v>586.08116870651179</v>
      </c>
      <c r="K200" s="20">
        <f>+Raw_Financials!K200/FXs!$C$11</f>
        <v>-4549.7649996919745</v>
      </c>
      <c r="L200" s="20">
        <f t="shared" si="15"/>
        <v>0</v>
      </c>
      <c r="M200" s="20">
        <f t="shared" si="16"/>
        <v>2.6644208852303466</v>
      </c>
      <c r="N200" s="21">
        <f t="shared" si="17"/>
        <v>2.6644208852303466</v>
      </c>
      <c r="O200" s="21">
        <f t="shared" si="18"/>
        <v>-7.9932626556910398</v>
      </c>
      <c r="P200" s="21">
        <f t="shared" si="19"/>
        <v>10.657683540921386</v>
      </c>
    </row>
    <row r="201" spans="1:16" ht="16">
      <c r="A201" s="6" t="s">
        <v>198</v>
      </c>
      <c r="B201" s="20">
        <f>+Raw_Financials!B201/FXs!$C$2</f>
        <v>0</v>
      </c>
      <c r="C201" s="20">
        <f>+Raw_Financials!C201/FXs!$C$3</f>
        <v>0</v>
      </c>
      <c r="D201" s="20">
        <f>+Raw_Financials!D201/FXs!$C$4</f>
        <v>0</v>
      </c>
      <c r="E201" s="20">
        <f>+Raw_Financials!E201/FXs!$C$5</f>
        <v>0</v>
      </c>
      <c r="F201" s="20">
        <f>+Raw_Financials!F201/FXs!$C$6</f>
        <v>0</v>
      </c>
      <c r="G201" s="20">
        <f>+Raw_Financials!G201/FXs!$C$7</f>
        <v>0</v>
      </c>
      <c r="H201" s="20">
        <f>+Raw_Financials!H201/FXs!$C$8</f>
        <v>0</v>
      </c>
      <c r="I201" s="20">
        <f>+Raw_Financials!I201/FXs!$C$9</f>
        <v>0</v>
      </c>
      <c r="J201" s="20">
        <f>+Raw_Financials!J201/FXs!$C$10</f>
        <v>0</v>
      </c>
      <c r="K201" s="20">
        <f>+Raw_Financials!K201/FXs!$C$11</f>
        <v>0</v>
      </c>
      <c r="L201" s="20">
        <f t="shared" si="15"/>
        <v>0</v>
      </c>
      <c r="M201" s="20">
        <f t="shared" si="16"/>
        <v>0</v>
      </c>
      <c r="N201" s="21">
        <f t="shared" si="17"/>
        <v>0</v>
      </c>
      <c r="O201" s="21">
        <f t="shared" si="18"/>
        <v>0</v>
      </c>
      <c r="P201" s="21">
        <f t="shared" si="19"/>
        <v>0</v>
      </c>
    </row>
    <row r="202" spans="1:16" ht="16">
      <c r="A202" s="5" t="s">
        <v>199</v>
      </c>
      <c r="B202" s="20">
        <f>+Raw_Financials!B202/FXs!$C$2</f>
        <v>0</v>
      </c>
      <c r="C202" s="20">
        <f>+Raw_Financials!C202/FXs!$C$3</f>
        <v>0</v>
      </c>
      <c r="D202" s="20">
        <f>+Raw_Financials!D202/FXs!$C$4</f>
        <v>-16157.428349368296</v>
      </c>
      <c r="E202" s="20">
        <f>+Raw_Financials!E202/FXs!$C$5</f>
        <v>0</v>
      </c>
      <c r="F202" s="20">
        <f>+Raw_Financials!F202/FXs!$C$6</f>
        <v>-18961.490315959541</v>
      </c>
      <c r="G202" s="20">
        <f>+Raw_Financials!G202/FXs!$C$7</f>
        <v>-26180.548060219237</v>
      </c>
      <c r="H202" s="20">
        <f>+Raw_Financials!H202/FXs!$C$8</f>
        <v>0</v>
      </c>
      <c r="I202" s="20">
        <f>+Raw_Financials!I202/FXs!$C$9</f>
        <v>0</v>
      </c>
      <c r="J202" s="20">
        <f>+Raw_Financials!J202/FXs!$C$10</f>
        <v>0</v>
      </c>
      <c r="K202" s="20">
        <f>+Raw_Financials!K202/FXs!$C$11</f>
        <v>0</v>
      </c>
      <c r="L202" s="20">
        <f t="shared" si="15"/>
        <v>-12118.071262026222</v>
      </c>
      <c r="M202" s="20">
        <f t="shared" si="16"/>
        <v>0</v>
      </c>
      <c r="N202" s="21">
        <f t="shared" si="17"/>
        <v>12118.071262026222</v>
      </c>
      <c r="O202" s="21">
        <f t="shared" si="18"/>
        <v>-48472.285048104888</v>
      </c>
      <c r="P202" s="21">
        <f t="shared" si="19"/>
        <v>36354.213786078668</v>
      </c>
    </row>
    <row r="203" spans="1:16" ht="16">
      <c r="A203" s="6" t="s">
        <v>200</v>
      </c>
      <c r="B203" s="20">
        <f>+Raw_Financials!B203/FXs!$C$2</f>
        <v>0</v>
      </c>
      <c r="C203" s="20">
        <f>+Raw_Financials!C203/FXs!$C$3</f>
        <v>0</v>
      </c>
      <c r="D203" s="20">
        <f>+Raw_Financials!D203/FXs!$C$4</f>
        <v>0</v>
      </c>
      <c r="E203" s="20">
        <f>+Raw_Financials!E203/FXs!$C$5</f>
        <v>0</v>
      </c>
      <c r="F203" s="20">
        <f>+Raw_Financials!F203/FXs!$C$6</f>
        <v>0</v>
      </c>
      <c r="G203" s="20">
        <f>+Raw_Financials!G203/FXs!$C$7</f>
        <v>0</v>
      </c>
      <c r="H203" s="20">
        <f>+Raw_Financials!H203/FXs!$C$8</f>
        <v>0</v>
      </c>
      <c r="I203" s="20">
        <f>+Raw_Financials!I203/FXs!$C$9</f>
        <v>0</v>
      </c>
      <c r="J203" s="20">
        <f>+Raw_Financials!J203/FXs!$C$10</f>
        <v>0</v>
      </c>
      <c r="K203" s="20">
        <f>+Raw_Financials!K203/FXs!$C$11</f>
        <v>0</v>
      </c>
      <c r="L203" s="20">
        <f t="shared" si="15"/>
        <v>0</v>
      </c>
      <c r="M203" s="20">
        <f t="shared" si="16"/>
        <v>0</v>
      </c>
      <c r="N203" s="21">
        <f t="shared" si="17"/>
        <v>0</v>
      </c>
      <c r="O203" s="21">
        <f t="shared" si="18"/>
        <v>0</v>
      </c>
      <c r="P203" s="21">
        <f t="shared" si="19"/>
        <v>0</v>
      </c>
    </row>
    <row r="204" spans="1:16" ht="16">
      <c r="A204" s="7" t="s">
        <v>201</v>
      </c>
      <c r="B204" s="20">
        <f>+Raw_Financials!B204/FXs!$C$2</f>
        <v>191.60062238808609</v>
      </c>
      <c r="C204" s="20">
        <f>+Raw_Financials!C204/FXs!$C$3</f>
        <v>295.24232506995924</v>
      </c>
      <c r="D204" s="20">
        <f>+Raw_Financials!D204/FXs!$C$4</f>
        <v>-14706.487244095902</v>
      </c>
      <c r="E204" s="20">
        <f>+Raw_Financials!E204/FXs!$C$5</f>
        <v>461.20540866528069</v>
      </c>
      <c r="F204" s="20">
        <f>+Raw_Financials!F204/FXs!$C$6</f>
        <v>-18961.490315959541</v>
      </c>
      <c r="G204" s="20">
        <f>+Raw_Financials!G204/FXs!$C$7</f>
        <v>-26150.816670373839</v>
      </c>
      <c r="H204" s="20">
        <f>+Raw_Financials!H204/FXs!$C$8</f>
        <v>0</v>
      </c>
      <c r="I204" s="20">
        <f>+Raw_Financials!I204/FXs!$C$9</f>
        <v>386.99170002534447</v>
      </c>
      <c r="J204" s="20">
        <f>+Raw_Financials!J204/FXs!$C$10</f>
        <v>586.08116870651179</v>
      </c>
      <c r="K204" s="20">
        <f>+Raw_Financials!K204/FXs!$C$11</f>
        <v>-4549.7649996919745</v>
      </c>
      <c r="L204" s="20">
        <f t="shared" si="15"/>
        <v>-12167.30668299492</v>
      </c>
      <c r="M204" s="20">
        <f t="shared" si="16"/>
        <v>364.05435628649815</v>
      </c>
      <c r="N204" s="21">
        <f t="shared" si="17"/>
        <v>12531.361039281419</v>
      </c>
      <c r="O204" s="21">
        <f t="shared" si="18"/>
        <v>-49761.389800839184</v>
      </c>
      <c r="P204" s="21">
        <f t="shared" si="19"/>
        <v>37958.137474130759</v>
      </c>
    </row>
    <row r="205" spans="1:16" ht="16">
      <c r="A205" s="6" t="s">
        <v>202</v>
      </c>
      <c r="B205" s="20">
        <f>+Raw_Financials!B205/FXs!$C$2</f>
        <v>0</v>
      </c>
      <c r="C205" s="20">
        <f>+Raw_Financials!C205/FXs!$C$3</f>
        <v>0</v>
      </c>
      <c r="D205" s="20">
        <f>+Raw_Financials!D205/FXs!$C$4</f>
        <v>0</v>
      </c>
      <c r="E205" s="20">
        <f>+Raw_Financials!E205/FXs!$C$5</f>
        <v>0</v>
      </c>
      <c r="F205" s="20">
        <f>+Raw_Financials!F205/FXs!$C$6</f>
        <v>0</v>
      </c>
      <c r="G205" s="20">
        <f>+Raw_Financials!G205/FXs!$C$7</f>
        <v>0</v>
      </c>
      <c r="H205" s="20">
        <f>+Raw_Financials!H205/FXs!$C$8</f>
        <v>0</v>
      </c>
      <c r="I205" s="20">
        <f>+Raw_Financials!I205/FXs!$C$9</f>
        <v>0</v>
      </c>
      <c r="J205" s="20">
        <f>+Raw_Financials!J205/FXs!$C$10</f>
        <v>0</v>
      </c>
      <c r="K205" s="20">
        <f>+Raw_Financials!K205/FXs!$C$11</f>
        <v>0</v>
      </c>
      <c r="L205" s="20">
        <f t="shared" si="15"/>
        <v>0</v>
      </c>
      <c r="M205" s="20">
        <f t="shared" si="16"/>
        <v>0</v>
      </c>
      <c r="N205" s="21">
        <f t="shared" si="17"/>
        <v>0</v>
      </c>
      <c r="O205" s="21">
        <f t="shared" si="18"/>
        <v>0</v>
      </c>
      <c r="P205" s="21">
        <f t="shared" si="19"/>
        <v>0</v>
      </c>
    </row>
    <row r="206" spans="1:16" ht="16">
      <c r="A206" s="5" t="s">
        <v>203</v>
      </c>
      <c r="B206" s="20">
        <f>+Raw_Financials!B206/FXs!$C$2</f>
        <v>0</v>
      </c>
      <c r="C206" s="20">
        <f>+Raw_Financials!C206/FXs!$C$3</f>
        <v>0</v>
      </c>
      <c r="D206" s="20">
        <f>+Raw_Financials!D206/FXs!$C$4</f>
        <v>0</v>
      </c>
      <c r="E206" s="20">
        <f>+Raw_Financials!E206/FXs!$C$5</f>
        <v>0</v>
      </c>
      <c r="F206" s="20">
        <f>+Raw_Financials!F206/FXs!$C$6</f>
        <v>0</v>
      </c>
      <c r="G206" s="20">
        <f>+Raw_Financials!G206/FXs!$C$7</f>
        <v>0</v>
      </c>
      <c r="H206" s="20">
        <f>+Raw_Financials!H206/FXs!$C$8</f>
        <v>0</v>
      </c>
      <c r="I206" s="20">
        <f>+Raw_Financials!I206/FXs!$C$9</f>
        <v>0</v>
      </c>
      <c r="J206" s="20">
        <f>+Raw_Financials!J206/FXs!$C$10</f>
        <v>0</v>
      </c>
      <c r="K206" s="20">
        <f>+Raw_Financials!K206/FXs!$C$11</f>
        <v>0</v>
      </c>
      <c r="L206" s="20">
        <f t="shared" si="15"/>
        <v>0</v>
      </c>
      <c r="M206" s="20">
        <f t="shared" si="16"/>
        <v>0</v>
      </c>
      <c r="N206" s="21">
        <f t="shared" si="17"/>
        <v>0</v>
      </c>
      <c r="O206" s="21">
        <f t="shared" si="18"/>
        <v>0</v>
      </c>
      <c r="P206" s="21">
        <f t="shared" si="19"/>
        <v>0</v>
      </c>
    </row>
    <row r="207" spans="1:16" ht="16">
      <c r="A207" s="6" t="s">
        <v>204</v>
      </c>
      <c r="B207" s="20">
        <f>+Raw_Financials!B207/FXs!$C$2</f>
        <v>0</v>
      </c>
      <c r="C207" s="20">
        <f>+Raw_Financials!C207/FXs!$C$3</f>
        <v>0</v>
      </c>
      <c r="D207" s="20">
        <f>+Raw_Financials!D207/FXs!$C$4</f>
        <v>0</v>
      </c>
      <c r="E207" s="20">
        <f>+Raw_Financials!E207/FXs!$C$5</f>
        <v>0</v>
      </c>
      <c r="F207" s="20">
        <f>+Raw_Financials!F207/FXs!$C$6</f>
        <v>0</v>
      </c>
      <c r="G207" s="20">
        <f>+Raw_Financials!G207/FXs!$C$7</f>
        <v>0</v>
      </c>
      <c r="H207" s="20">
        <f>+Raw_Financials!H207/FXs!$C$8</f>
        <v>0</v>
      </c>
      <c r="I207" s="20">
        <f>+Raw_Financials!I207/FXs!$C$9</f>
        <v>0</v>
      </c>
      <c r="J207" s="20">
        <f>+Raw_Financials!J207/FXs!$C$10</f>
        <v>0</v>
      </c>
      <c r="K207" s="20">
        <f>+Raw_Financials!K207/FXs!$C$11</f>
        <v>0</v>
      </c>
      <c r="L207" s="20">
        <f t="shared" si="15"/>
        <v>0</v>
      </c>
      <c r="M207" s="20">
        <f t="shared" si="16"/>
        <v>0</v>
      </c>
      <c r="N207" s="21">
        <f t="shared" si="17"/>
        <v>0</v>
      </c>
      <c r="O207" s="21">
        <f t="shared" si="18"/>
        <v>0</v>
      </c>
      <c r="P207" s="21">
        <f t="shared" si="19"/>
        <v>0</v>
      </c>
    </row>
    <row r="208" spans="1:16" ht="16">
      <c r="A208" s="5" t="s">
        <v>205</v>
      </c>
      <c r="B208" s="20">
        <f>+Raw_Financials!B208/FXs!$C$2</f>
        <v>0</v>
      </c>
      <c r="C208" s="20">
        <f>+Raw_Financials!C208/FXs!$C$3</f>
        <v>-4537.431640879422</v>
      </c>
      <c r="D208" s="20">
        <f>+Raw_Financials!D208/FXs!$C$4</f>
        <v>8956.4928009028627</v>
      </c>
      <c r="E208" s="20">
        <f>+Raw_Financials!E208/FXs!$C$5</f>
        <v>-19806.809032869511</v>
      </c>
      <c r="F208" s="20">
        <f>+Raw_Financials!F208/FXs!$C$6</f>
        <v>11022.595824268526</v>
      </c>
      <c r="G208" s="20">
        <f>+Raw_Financials!G208/FXs!$C$7</f>
        <v>4481.5316314205375</v>
      </c>
      <c r="H208" s="20">
        <f>+Raw_Financials!H208/FXs!$C$8</f>
        <v>-18780.758373468572</v>
      </c>
      <c r="I208" s="20">
        <f>+Raw_Financials!I208/FXs!$C$9</f>
        <v>-9779.8586240983877</v>
      </c>
      <c r="J208" s="20">
        <f>+Raw_Financials!J208/FXs!$C$10</f>
        <v>-11863.450446926472</v>
      </c>
      <c r="K208" s="20">
        <f>+Raw_Financials!K208/FXs!$C$11</f>
        <v>-21012.601419927658</v>
      </c>
      <c r="L208" s="20">
        <f t="shared" si="15"/>
        <v>-17051.431391833048</v>
      </c>
      <c r="M208" s="20">
        <f t="shared" si="16"/>
        <v>3361.1487235654031</v>
      </c>
      <c r="N208" s="21">
        <f t="shared" si="17"/>
        <v>20412.58011539845</v>
      </c>
      <c r="O208" s="21">
        <f t="shared" si="18"/>
        <v>-78289.171738028395</v>
      </c>
      <c r="P208" s="21">
        <f t="shared" si="19"/>
        <v>64598.889069760757</v>
      </c>
    </row>
    <row r="209" spans="1:16" ht="16">
      <c r="A209" s="6" t="s">
        <v>206</v>
      </c>
      <c r="B209" s="20">
        <f>+Raw_Financials!B209/FXs!$C$2</f>
        <v>0</v>
      </c>
      <c r="C209" s="20">
        <f>+Raw_Financials!C209/FXs!$C$3</f>
        <v>0</v>
      </c>
      <c r="D209" s="20">
        <f>+Raw_Financials!D209/FXs!$C$4</f>
        <v>0</v>
      </c>
      <c r="E209" s="20">
        <f>+Raw_Financials!E209/FXs!$C$5</f>
        <v>0</v>
      </c>
      <c r="F209" s="20">
        <f>+Raw_Financials!F209/FXs!$C$6</f>
        <v>0</v>
      </c>
      <c r="G209" s="20">
        <f>+Raw_Financials!G209/FXs!$C$7</f>
        <v>0</v>
      </c>
      <c r="H209" s="20">
        <f>+Raw_Financials!H209/FXs!$C$8</f>
        <v>0</v>
      </c>
      <c r="I209" s="20">
        <f>+Raw_Financials!I209/FXs!$C$9</f>
        <v>0</v>
      </c>
      <c r="J209" s="20">
        <f>+Raw_Financials!J209/FXs!$C$10</f>
        <v>0</v>
      </c>
      <c r="K209" s="20">
        <f>+Raw_Financials!K209/FXs!$C$11</f>
        <v>0</v>
      </c>
      <c r="L209" s="20">
        <f t="shared" si="15"/>
        <v>0</v>
      </c>
      <c r="M209" s="20">
        <f t="shared" si="16"/>
        <v>0</v>
      </c>
      <c r="N209" s="21">
        <f t="shared" si="17"/>
        <v>0</v>
      </c>
      <c r="O209" s="21">
        <f t="shared" si="18"/>
        <v>0</v>
      </c>
      <c r="P209" s="21">
        <f t="shared" si="19"/>
        <v>0</v>
      </c>
    </row>
    <row r="210" spans="1:16" ht="16">
      <c r="A210" s="5" t="s">
        <v>207</v>
      </c>
      <c r="B210" s="20">
        <f>+Raw_Financials!B210/FXs!$C$2</f>
        <v>0</v>
      </c>
      <c r="C210" s="20">
        <f>+Raw_Financials!C210/FXs!$C$3</f>
        <v>0</v>
      </c>
      <c r="D210" s="20">
        <f>+Raw_Financials!D210/FXs!$C$4</f>
        <v>0</v>
      </c>
      <c r="E210" s="20">
        <f>+Raw_Financials!E210/FXs!$C$5</f>
        <v>0</v>
      </c>
      <c r="F210" s="20">
        <f>+Raw_Financials!F210/FXs!$C$6</f>
        <v>0</v>
      </c>
      <c r="G210" s="20">
        <f>+Raw_Financials!G210/FXs!$C$7</f>
        <v>0</v>
      </c>
      <c r="H210" s="20">
        <f>+Raw_Financials!H210/FXs!$C$8</f>
        <v>0</v>
      </c>
      <c r="I210" s="20">
        <f>+Raw_Financials!I210/FXs!$C$9</f>
        <v>0</v>
      </c>
      <c r="J210" s="20">
        <f>+Raw_Financials!J210/FXs!$C$10</f>
        <v>0</v>
      </c>
      <c r="K210" s="20">
        <f>+Raw_Financials!K210/FXs!$C$11</f>
        <v>0</v>
      </c>
      <c r="L210" s="20">
        <f t="shared" si="15"/>
        <v>0</v>
      </c>
      <c r="M210" s="20">
        <f t="shared" si="16"/>
        <v>0</v>
      </c>
      <c r="N210" s="21">
        <f t="shared" si="17"/>
        <v>0</v>
      </c>
      <c r="O210" s="21">
        <f t="shared" si="18"/>
        <v>0</v>
      </c>
      <c r="P210" s="21">
        <f t="shared" si="19"/>
        <v>0</v>
      </c>
    </row>
    <row r="211" spans="1:16" ht="16">
      <c r="A211" s="6" t="s">
        <v>208</v>
      </c>
      <c r="B211" s="20">
        <f>+Raw_Financials!B211/FXs!$C$2</f>
        <v>99.754398149527987</v>
      </c>
      <c r="C211" s="20">
        <f>+Raw_Financials!C211/FXs!$C$3</f>
        <v>956.39396845083184</v>
      </c>
      <c r="D211" s="20">
        <f>+Raw_Financials!D211/FXs!$C$4</f>
        <v>6998.7726882321231</v>
      </c>
      <c r="E211" s="20">
        <f>+Raw_Financials!E211/FXs!$C$5</f>
        <v>4357.9799171846444</v>
      </c>
      <c r="F211" s="20">
        <f>+Raw_Financials!F211/FXs!$C$6</f>
        <v>4620.3038905906451</v>
      </c>
      <c r="G211" s="20">
        <f>+Raw_Financials!G211/FXs!$C$7</f>
        <v>8968.9800630122609</v>
      </c>
      <c r="H211" s="20">
        <f>+Raw_Financials!H211/FXs!$C$8</f>
        <v>4698.683625609553</v>
      </c>
      <c r="I211" s="20">
        <f>+Raw_Financials!I211/FXs!$C$9</f>
        <v>-1029.8143889478808</v>
      </c>
      <c r="J211" s="20">
        <f>+Raw_Financials!J211/FXs!$C$10</f>
        <v>-3089.2518825255388</v>
      </c>
      <c r="K211" s="20">
        <f>+Raw_Financials!K211/FXs!$C$11</f>
        <v>22688.648437960706</v>
      </c>
      <c r="L211" s="20">
        <f t="shared" si="15"/>
        <v>313.91429072485391</v>
      </c>
      <c r="M211" s="20">
        <f t="shared" si="16"/>
        <v>6423.7504225764806</v>
      </c>
      <c r="N211" s="21">
        <f t="shared" si="17"/>
        <v>6109.8361318516263</v>
      </c>
      <c r="O211" s="21">
        <f t="shared" si="18"/>
        <v>-18015.594104830026</v>
      </c>
      <c r="P211" s="21">
        <f t="shared" si="19"/>
        <v>24753.258818131362</v>
      </c>
    </row>
    <row r="212" spans="1:16" ht="16">
      <c r="A212" s="5" t="s">
        <v>209</v>
      </c>
      <c r="B212" s="20">
        <f>+Raw_Financials!B212/FXs!$C$2</f>
        <v>0</v>
      </c>
      <c r="C212" s="20">
        <f>+Raw_Financials!C212/FXs!$C$3</f>
        <v>0</v>
      </c>
      <c r="D212" s="20">
        <f>+Raw_Financials!D212/FXs!$C$4</f>
        <v>0</v>
      </c>
      <c r="E212" s="20">
        <f>+Raw_Financials!E212/FXs!$C$5</f>
        <v>0</v>
      </c>
      <c r="F212" s="20">
        <f>+Raw_Financials!F212/FXs!$C$6</f>
        <v>0</v>
      </c>
      <c r="G212" s="20">
        <f>+Raw_Financials!G212/FXs!$C$7</f>
        <v>0</v>
      </c>
      <c r="H212" s="20">
        <f>+Raw_Financials!H212/FXs!$C$8</f>
        <v>0</v>
      </c>
      <c r="I212" s="20">
        <f>+Raw_Financials!I212/FXs!$C$9</f>
        <v>0</v>
      </c>
      <c r="J212" s="20">
        <f>+Raw_Financials!J212/FXs!$C$10</f>
        <v>0</v>
      </c>
      <c r="K212" s="20">
        <f>+Raw_Financials!K212/FXs!$C$11</f>
        <v>0</v>
      </c>
      <c r="L212" s="20">
        <f t="shared" si="15"/>
        <v>0</v>
      </c>
      <c r="M212" s="20">
        <f t="shared" si="16"/>
        <v>0</v>
      </c>
      <c r="N212" s="21">
        <f t="shared" si="17"/>
        <v>0</v>
      </c>
      <c r="O212" s="21">
        <f t="shared" si="18"/>
        <v>0</v>
      </c>
      <c r="P212" s="21">
        <f t="shared" si="19"/>
        <v>0</v>
      </c>
    </row>
    <row r="213" spans="1:16" ht="16">
      <c r="A213" s="6" t="s">
        <v>210</v>
      </c>
      <c r="B213" s="20">
        <f>+Raw_Financials!B213/FXs!$C$2</f>
        <v>0</v>
      </c>
      <c r="C213" s="20">
        <f>+Raw_Financials!C213/FXs!$C$3</f>
        <v>0</v>
      </c>
      <c r="D213" s="20">
        <f>+Raw_Financials!D213/FXs!$C$4</f>
        <v>0</v>
      </c>
      <c r="E213" s="20">
        <f>+Raw_Financials!E213/FXs!$C$5</f>
        <v>0</v>
      </c>
      <c r="F213" s="20">
        <f>+Raw_Financials!F213/FXs!$C$6</f>
        <v>0</v>
      </c>
      <c r="G213" s="20">
        <f>+Raw_Financials!G213/FXs!$C$7</f>
        <v>0</v>
      </c>
      <c r="H213" s="20">
        <f>+Raw_Financials!H213/FXs!$C$8</f>
        <v>0</v>
      </c>
      <c r="I213" s="20">
        <f>+Raw_Financials!I213/FXs!$C$9</f>
        <v>0</v>
      </c>
      <c r="J213" s="20">
        <f>+Raw_Financials!J213/FXs!$C$10</f>
        <v>0</v>
      </c>
      <c r="K213" s="20">
        <f>+Raw_Financials!K213/FXs!$C$11</f>
        <v>0</v>
      </c>
      <c r="L213" s="20">
        <f t="shared" si="15"/>
        <v>0</v>
      </c>
      <c r="M213" s="20">
        <f t="shared" si="16"/>
        <v>0</v>
      </c>
      <c r="N213" s="21">
        <f t="shared" si="17"/>
        <v>0</v>
      </c>
      <c r="O213" s="21">
        <f t="shared" si="18"/>
        <v>0</v>
      </c>
      <c r="P213" s="21">
        <f t="shared" si="19"/>
        <v>0</v>
      </c>
    </row>
    <row r="214" spans="1:16" ht="16">
      <c r="A214" s="7" t="s">
        <v>211</v>
      </c>
      <c r="B214" s="20">
        <f>+Raw_Financials!B214/FXs!$C$2</f>
        <v>99.754398149527987</v>
      </c>
      <c r="C214" s="20">
        <f>+Raw_Financials!C214/FXs!$C$3</f>
        <v>-3581.0376724285902</v>
      </c>
      <c r="D214" s="20">
        <f>+Raw_Financials!D214/FXs!$C$4</f>
        <v>15955.265489134985</v>
      </c>
      <c r="E214" s="20">
        <f>+Raw_Financials!E214/FXs!$C$5</f>
        <v>-15448.829115684868</v>
      </c>
      <c r="F214" s="20">
        <f>+Raw_Financials!F214/FXs!$C$6</f>
        <v>15642.899714859172</v>
      </c>
      <c r="G214" s="20">
        <f>+Raw_Financials!G214/FXs!$C$7</f>
        <v>13450.511694432798</v>
      </c>
      <c r="H214" s="20">
        <f>+Raw_Financials!H214/FXs!$C$8</f>
        <v>-14082.074747859018</v>
      </c>
      <c r="I214" s="20">
        <f>+Raw_Financials!I214/FXs!$C$9</f>
        <v>-10809.673013046267</v>
      </c>
      <c r="J214" s="20">
        <f>+Raw_Financials!J214/FXs!$C$10</f>
        <v>-14952.702329452013</v>
      </c>
      <c r="K214" s="20">
        <f>+Raw_Financials!K214/FXs!$C$11</f>
        <v>1676.047018033046</v>
      </c>
      <c r="L214" s="20">
        <f t="shared" si="15"/>
        <v>-13263.97431415583</v>
      </c>
      <c r="M214" s="20">
        <f t="shared" si="16"/>
        <v>10506.89552533286</v>
      </c>
      <c r="N214" s="21">
        <f t="shared" si="17"/>
        <v>23770.869839488689</v>
      </c>
      <c r="O214" s="21">
        <f t="shared" si="18"/>
        <v>-84576.583832621895</v>
      </c>
      <c r="P214" s="21">
        <f t="shared" si="19"/>
        <v>81819.505043798927</v>
      </c>
    </row>
    <row r="215" spans="1:16" ht="16">
      <c r="A215" s="6" t="s">
        <v>212</v>
      </c>
      <c r="B215" s="20">
        <f>+Raw_Financials!B215/FXs!$C$2</f>
        <v>0</v>
      </c>
      <c r="C215" s="20">
        <f>+Raw_Financials!C215/FXs!$C$3</f>
        <v>0</v>
      </c>
      <c r="D215" s="20">
        <f>+Raw_Financials!D215/FXs!$C$4</f>
        <v>0</v>
      </c>
      <c r="E215" s="20">
        <f>+Raw_Financials!E215/FXs!$C$5</f>
        <v>0</v>
      </c>
      <c r="F215" s="20">
        <f>+Raw_Financials!F215/FXs!$C$6</f>
        <v>0</v>
      </c>
      <c r="G215" s="20">
        <f>+Raw_Financials!G215/FXs!$C$7</f>
        <v>0</v>
      </c>
      <c r="H215" s="20">
        <f>+Raw_Financials!H215/FXs!$C$8</f>
        <v>0</v>
      </c>
      <c r="I215" s="20">
        <f>+Raw_Financials!I215/FXs!$C$9</f>
        <v>0</v>
      </c>
      <c r="J215" s="20">
        <f>+Raw_Financials!J215/FXs!$C$10</f>
        <v>0</v>
      </c>
      <c r="K215" s="20">
        <f>+Raw_Financials!K215/FXs!$C$11</f>
        <v>0</v>
      </c>
      <c r="L215" s="20">
        <f t="shared" si="15"/>
        <v>0</v>
      </c>
      <c r="M215" s="20">
        <f t="shared" si="16"/>
        <v>0</v>
      </c>
      <c r="N215" s="21">
        <f t="shared" si="17"/>
        <v>0</v>
      </c>
      <c r="O215" s="21">
        <f t="shared" si="18"/>
        <v>0</v>
      </c>
      <c r="P215" s="21">
        <f t="shared" si="19"/>
        <v>0</v>
      </c>
    </row>
    <row r="216" spans="1:16" ht="16">
      <c r="A216" s="5" t="s">
        <v>213</v>
      </c>
      <c r="B216" s="20">
        <f>+Raw_Financials!B216/FXs!$C$2</f>
        <v>0</v>
      </c>
      <c r="C216" s="20">
        <f>+Raw_Financials!C216/FXs!$C$3</f>
        <v>0</v>
      </c>
      <c r="D216" s="20">
        <f>+Raw_Financials!D216/FXs!$C$4</f>
        <v>0</v>
      </c>
      <c r="E216" s="20">
        <f>+Raw_Financials!E216/FXs!$C$5</f>
        <v>0</v>
      </c>
      <c r="F216" s="20">
        <f>+Raw_Financials!F216/FXs!$C$6</f>
        <v>0</v>
      </c>
      <c r="G216" s="20">
        <f>+Raw_Financials!G216/FXs!$C$7</f>
        <v>0</v>
      </c>
      <c r="H216" s="20">
        <f>+Raw_Financials!H216/FXs!$C$8</f>
        <v>0</v>
      </c>
      <c r="I216" s="20">
        <f>+Raw_Financials!I216/FXs!$C$9</f>
        <v>0</v>
      </c>
      <c r="J216" s="20">
        <f>+Raw_Financials!J216/FXs!$C$10</f>
        <v>0</v>
      </c>
      <c r="K216" s="20">
        <f>+Raw_Financials!K216/FXs!$C$11</f>
        <v>0</v>
      </c>
      <c r="L216" s="20">
        <f t="shared" si="15"/>
        <v>0</v>
      </c>
      <c r="M216" s="20">
        <f t="shared" si="16"/>
        <v>0</v>
      </c>
      <c r="N216" s="21">
        <f t="shared" si="17"/>
        <v>0</v>
      </c>
      <c r="O216" s="21">
        <f t="shared" si="18"/>
        <v>0</v>
      </c>
      <c r="P216" s="21">
        <f t="shared" si="19"/>
        <v>0</v>
      </c>
    </row>
    <row r="217" spans="1:16" ht="16">
      <c r="A217" s="7" t="s">
        <v>214</v>
      </c>
      <c r="B217" s="20">
        <f>+Raw_Financials!B217/FXs!$C$2</f>
        <v>97450.615800549509</v>
      </c>
      <c r="C217" s="20">
        <f>+Raw_Financials!C217/FXs!$C$3</f>
        <v>-20675.063239026153</v>
      </c>
      <c r="D217" s="20">
        <f>+Raw_Financials!D217/FXs!$C$4</f>
        <v>-1989.1676918088251</v>
      </c>
      <c r="E217" s="20">
        <f>+Raw_Financials!E217/FXs!$C$5</f>
        <v>-525.03448845269088</v>
      </c>
      <c r="F217" s="20">
        <f>+Raw_Financials!F217/FXs!$C$6</f>
        <v>2608.6132753188772</v>
      </c>
      <c r="G217" s="20">
        <f>+Raw_Financials!G217/FXs!$C$7</f>
        <v>-19485.826471341832</v>
      </c>
      <c r="H217" s="20">
        <f>+Raw_Financials!H217/FXs!$C$8</f>
        <v>-1203.3320938669015</v>
      </c>
      <c r="I217" s="20">
        <f>+Raw_Financials!I217/FXs!$C$9</f>
        <v>8981.1225391957742</v>
      </c>
      <c r="J217" s="20">
        <f>+Raw_Financials!J217/FXs!$C$10</f>
        <v>-2255.0462021500975</v>
      </c>
      <c r="K217" s="20">
        <f>+Raw_Financials!K217/FXs!$C$11</f>
        <v>33416.682525396456</v>
      </c>
      <c r="L217" s="20">
        <f t="shared" si="15"/>
        <v>-2188.5765745647795</v>
      </c>
      <c r="M217" s="20">
        <f t="shared" si="16"/>
        <v>7387.9952232265496</v>
      </c>
      <c r="N217" s="21">
        <f t="shared" si="17"/>
        <v>9576.57179779133</v>
      </c>
      <c r="O217" s="21">
        <f t="shared" si="18"/>
        <v>-30918.291967938771</v>
      </c>
      <c r="P217" s="21">
        <f t="shared" si="19"/>
        <v>36117.71061660054</v>
      </c>
    </row>
    <row r="218" spans="1:16" ht="16">
      <c r="A218" s="5" t="s">
        <v>215</v>
      </c>
      <c r="B218" s="20">
        <f>+Raw_Financials!B218/FXs!$C$2</f>
        <v>0</v>
      </c>
      <c r="C218" s="20">
        <f>+Raw_Financials!C218/FXs!$C$3</f>
        <v>0</v>
      </c>
      <c r="D218" s="20">
        <f>+Raw_Financials!D218/FXs!$C$4</f>
        <v>0</v>
      </c>
      <c r="E218" s="20">
        <f>+Raw_Financials!E218/FXs!$C$5</f>
        <v>0</v>
      </c>
      <c r="F218" s="20">
        <f>+Raw_Financials!F218/FXs!$C$6</f>
        <v>0</v>
      </c>
      <c r="G218" s="20">
        <f>+Raw_Financials!G218/FXs!$C$7</f>
        <v>0</v>
      </c>
      <c r="H218" s="20">
        <f>+Raw_Financials!H218/FXs!$C$8</f>
        <v>0</v>
      </c>
      <c r="I218" s="20">
        <f>+Raw_Financials!I218/FXs!$C$9</f>
        <v>0</v>
      </c>
      <c r="J218" s="20">
        <f>+Raw_Financials!J218/FXs!$C$10</f>
        <v>0</v>
      </c>
      <c r="K218" s="20">
        <f>+Raw_Financials!K218/FXs!$C$11</f>
        <v>1565.4977228985344</v>
      </c>
      <c r="L218" s="20">
        <f t="shared" si="15"/>
        <v>0</v>
      </c>
      <c r="M218" s="20">
        <f t="shared" si="16"/>
        <v>0</v>
      </c>
      <c r="N218" s="21">
        <f t="shared" si="17"/>
        <v>0</v>
      </c>
      <c r="O218" s="21">
        <f t="shared" si="18"/>
        <v>0</v>
      </c>
      <c r="P218" s="21">
        <f t="shared" si="19"/>
        <v>0</v>
      </c>
    </row>
    <row r="219" spans="1:16" ht="16">
      <c r="A219" s="6" t="s">
        <v>216</v>
      </c>
      <c r="B219" s="20">
        <f>+Raw_Financials!B219/FXs!$C$2</f>
        <v>0</v>
      </c>
      <c r="C219" s="20">
        <f>+Raw_Financials!C219/FXs!$C$3</f>
        <v>0</v>
      </c>
      <c r="D219" s="20">
        <f>+Raw_Financials!D219/FXs!$C$4</f>
        <v>0</v>
      </c>
      <c r="E219" s="20">
        <f>+Raw_Financials!E219/FXs!$C$5</f>
        <v>0</v>
      </c>
      <c r="F219" s="20">
        <f>+Raw_Financials!F219/FXs!$C$6</f>
        <v>0</v>
      </c>
      <c r="G219" s="20">
        <f>+Raw_Financials!G219/FXs!$C$7</f>
        <v>0</v>
      </c>
      <c r="H219" s="20">
        <f>+Raw_Financials!H219/FXs!$C$8</f>
        <v>0</v>
      </c>
      <c r="I219" s="20">
        <f>+Raw_Financials!I219/FXs!$C$9</f>
        <v>0</v>
      </c>
      <c r="J219" s="20">
        <f>+Raw_Financials!J219/FXs!$C$10</f>
        <v>0</v>
      </c>
      <c r="K219" s="20">
        <f>+Raw_Financials!K219/FXs!$C$11</f>
        <v>0</v>
      </c>
      <c r="L219" s="20">
        <f t="shared" si="15"/>
        <v>0</v>
      </c>
      <c r="M219" s="20">
        <f t="shared" si="16"/>
        <v>0</v>
      </c>
      <c r="N219" s="21">
        <f t="shared" si="17"/>
        <v>0</v>
      </c>
      <c r="O219" s="21">
        <f t="shared" si="18"/>
        <v>0</v>
      </c>
      <c r="P219" s="21">
        <f t="shared" si="19"/>
        <v>0</v>
      </c>
    </row>
    <row r="220" spans="1:16" ht="16">
      <c r="A220" s="5" t="s">
        <v>217</v>
      </c>
      <c r="B220" s="20">
        <f>+Raw_Financials!B220/FXs!$C$2</f>
        <v>0</v>
      </c>
      <c r="C220" s="20">
        <f>+Raw_Financials!C220/FXs!$C$3</f>
        <v>0</v>
      </c>
      <c r="D220" s="20">
        <f>+Raw_Financials!D220/FXs!$C$4</f>
        <v>0</v>
      </c>
      <c r="E220" s="20">
        <f>+Raw_Financials!E220/FXs!$C$5</f>
        <v>0</v>
      </c>
      <c r="F220" s="20">
        <f>+Raw_Financials!F220/FXs!$C$6</f>
        <v>0</v>
      </c>
      <c r="G220" s="20">
        <f>+Raw_Financials!G220/FXs!$C$7</f>
        <v>0</v>
      </c>
      <c r="H220" s="20">
        <f>+Raw_Financials!H220/FXs!$C$8</f>
        <v>0</v>
      </c>
      <c r="I220" s="20">
        <f>+Raw_Financials!I220/FXs!$C$9</f>
        <v>0</v>
      </c>
      <c r="J220" s="20">
        <f>+Raw_Financials!J220/FXs!$C$10</f>
        <v>0</v>
      </c>
      <c r="K220" s="20">
        <f>+Raw_Financials!K220/FXs!$C$11</f>
        <v>0</v>
      </c>
      <c r="L220" s="20">
        <f t="shared" si="15"/>
        <v>0</v>
      </c>
      <c r="M220" s="20">
        <f t="shared" si="16"/>
        <v>0</v>
      </c>
      <c r="N220" s="21">
        <f t="shared" si="17"/>
        <v>0</v>
      </c>
      <c r="O220" s="21">
        <f t="shared" si="18"/>
        <v>0</v>
      </c>
      <c r="P220" s="21">
        <f t="shared" si="19"/>
        <v>0</v>
      </c>
    </row>
    <row r="221" spans="1:16" ht="16">
      <c r="A221" s="7" t="s">
        <v>218</v>
      </c>
      <c r="B221" s="20">
        <f>+Raw_Financials!B221/FXs!$C$2</f>
        <v>0</v>
      </c>
      <c r="C221" s="20">
        <f>+Raw_Financials!C221/FXs!$C$3</f>
        <v>0</v>
      </c>
      <c r="D221" s="20">
        <f>+Raw_Financials!D221/FXs!$C$4</f>
        <v>0</v>
      </c>
      <c r="E221" s="20">
        <f>+Raw_Financials!E221/FXs!$C$5</f>
        <v>0</v>
      </c>
      <c r="F221" s="20">
        <f>+Raw_Financials!F221/FXs!$C$6</f>
        <v>0</v>
      </c>
      <c r="G221" s="20">
        <f>+Raw_Financials!G221/FXs!$C$7</f>
        <v>0</v>
      </c>
      <c r="H221" s="20">
        <f>+Raw_Financials!H221/FXs!$C$8</f>
        <v>0</v>
      </c>
      <c r="I221" s="20">
        <f>+Raw_Financials!I221/FXs!$C$9</f>
        <v>0</v>
      </c>
      <c r="J221" s="20">
        <f>+Raw_Financials!J221/FXs!$C$10</f>
        <v>0</v>
      </c>
      <c r="K221" s="20">
        <f>+Raw_Financials!K221/FXs!$C$11</f>
        <v>1565.4977228985344</v>
      </c>
      <c r="L221" s="20">
        <f t="shared" si="15"/>
        <v>0</v>
      </c>
      <c r="M221" s="20">
        <f t="shared" si="16"/>
        <v>0</v>
      </c>
      <c r="N221" s="21">
        <f t="shared" si="17"/>
        <v>0</v>
      </c>
      <c r="O221" s="21">
        <f t="shared" si="18"/>
        <v>0</v>
      </c>
      <c r="P221" s="21">
        <f t="shared" si="19"/>
        <v>0</v>
      </c>
    </row>
    <row r="222" spans="1:16" ht="16">
      <c r="A222" s="7" t="s">
        <v>219</v>
      </c>
      <c r="B222" s="20">
        <f>+Raw_Financials!B222/FXs!$C$2</f>
        <v>97450.615800549509</v>
      </c>
      <c r="C222" s="20">
        <f>+Raw_Financials!C222/FXs!$C$3</f>
        <v>-20675.063239026153</v>
      </c>
      <c r="D222" s="20">
        <f>+Raw_Financials!D222/FXs!$C$4</f>
        <v>-1989.1676918088251</v>
      </c>
      <c r="E222" s="20">
        <f>+Raw_Financials!E222/FXs!$C$5</f>
        <v>-525.03448845269088</v>
      </c>
      <c r="F222" s="20">
        <f>+Raw_Financials!F222/FXs!$C$6</f>
        <v>2608.6132753188772</v>
      </c>
      <c r="G222" s="20">
        <f>+Raw_Financials!G222/FXs!$C$7</f>
        <v>-19485.826471341832</v>
      </c>
      <c r="H222" s="20">
        <f>+Raw_Financials!H222/FXs!$C$8</f>
        <v>-1203.3320938669015</v>
      </c>
      <c r="I222" s="20">
        <f>+Raw_Financials!I222/FXs!$C$9</f>
        <v>8981.1225391957742</v>
      </c>
      <c r="J222" s="20">
        <f>+Raw_Financials!J222/FXs!$C$10</f>
        <v>-2255.0462021500975</v>
      </c>
      <c r="K222" s="20">
        <f>+Raw_Financials!K222/FXs!$C$11</f>
        <v>31851.184802497926</v>
      </c>
      <c r="L222" s="20">
        <f t="shared" si="15"/>
        <v>-2188.5765745647795</v>
      </c>
      <c r="M222" s="20">
        <f t="shared" si="16"/>
        <v>7387.9952232265496</v>
      </c>
      <c r="N222" s="21">
        <f t="shared" si="17"/>
        <v>9576.57179779133</v>
      </c>
      <c r="O222" s="21">
        <f t="shared" si="18"/>
        <v>-30918.291967938771</v>
      </c>
      <c r="P222" s="21">
        <f t="shared" si="19"/>
        <v>36117.71061660054</v>
      </c>
    </row>
    <row r="223" spans="1:16" ht="16">
      <c r="A223" s="6" t="s">
        <v>220</v>
      </c>
      <c r="B223" s="20">
        <f>+Raw_Financials!B223/FXs!$C$2</f>
        <v>0</v>
      </c>
      <c r="C223" s="20">
        <f>+Raw_Financials!C223/FXs!$C$3</f>
        <v>0</v>
      </c>
      <c r="D223" s="20">
        <f>+Raw_Financials!D223/FXs!$C$4</f>
        <v>0</v>
      </c>
      <c r="E223" s="20">
        <f>+Raw_Financials!E223/FXs!$C$5</f>
        <v>0</v>
      </c>
      <c r="F223" s="20">
        <f>+Raw_Financials!F223/FXs!$C$6</f>
        <v>0</v>
      </c>
      <c r="G223" s="20">
        <f>+Raw_Financials!G223/FXs!$C$7</f>
        <v>0</v>
      </c>
      <c r="H223" s="20">
        <f>+Raw_Financials!H223/FXs!$C$8</f>
        <v>0</v>
      </c>
      <c r="I223" s="20">
        <f>+Raw_Financials!I223/FXs!$C$9</f>
        <v>0</v>
      </c>
      <c r="J223" s="20">
        <f>+Raw_Financials!J223/FXs!$C$10</f>
        <v>0</v>
      </c>
      <c r="K223" s="20">
        <f>+Raw_Financials!K223/FXs!$C$11</f>
        <v>0</v>
      </c>
      <c r="L223" s="20">
        <f t="shared" si="15"/>
        <v>0</v>
      </c>
      <c r="M223" s="20">
        <f t="shared" si="16"/>
        <v>0</v>
      </c>
      <c r="N223" s="21">
        <f t="shared" si="17"/>
        <v>0</v>
      </c>
      <c r="O223" s="21">
        <f t="shared" si="18"/>
        <v>0</v>
      </c>
      <c r="P223" s="21">
        <f t="shared" si="19"/>
        <v>0</v>
      </c>
    </row>
    <row r="224" spans="1:16" ht="16">
      <c r="A224" s="5" t="s">
        <v>221</v>
      </c>
      <c r="B224" s="20">
        <f>+Raw_Financials!B224/FXs!$C$2</f>
        <v>0</v>
      </c>
      <c r="C224" s="20">
        <f>+Raw_Financials!C224/FXs!$C$3</f>
        <v>0</v>
      </c>
      <c r="D224" s="20">
        <f>+Raw_Financials!D224/FXs!$C$4</f>
        <v>0</v>
      </c>
      <c r="E224" s="20">
        <f>+Raw_Financials!E224/FXs!$C$5</f>
        <v>0</v>
      </c>
      <c r="F224" s="20">
        <f>+Raw_Financials!F224/FXs!$C$6</f>
        <v>0</v>
      </c>
      <c r="G224" s="20">
        <f>+Raw_Financials!G224/FXs!$C$7</f>
        <v>0</v>
      </c>
      <c r="H224" s="20">
        <f>+Raw_Financials!H224/FXs!$C$8</f>
        <v>0</v>
      </c>
      <c r="I224" s="20">
        <f>+Raw_Financials!I224/FXs!$C$9</f>
        <v>0</v>
      </c>
      <c r="J224" s="20">
        <f>+Raw_Financials!J224/FXs!$C$10</f>
        <v>0</v>
      </c>
      <c r="K224" s="20">
        <f>+Raw_Financials!K224/FXs!$C$11</f>
        <v>0</v>
      </c>
      <c r="L224" s="20">
        <f t="shared" si="15"/>
        <v>0</v>
      </c>
      <c r="M224" s="20">
        <f t="shared" si="16"/>
        <v>0</v>
      </c>
      <c r="N224" s="21">
        <f t="shared" si="17"/>
        <v>0</v>
      </c>
      <c r="O224" s="21">
        <f t="shared" si="18"/>
        <v>0</v>
      </c>
      <c r="P224" s="21">
        <f t="shared" si="19"/>
        <v>0</v>
      </c>
    </row>
    <row r="225" spans="1:16" ht="16">
      <c r="A225" s="6" t="s">
        <v>222</v>
      </c>
      <c r="B225" s="20">
        <f>+Raw_Financials!B225/FXs!$C$2</f>
        <v>0</v>
      </c>
      <c r="C225" s="20">
        <f>+Raw_Financials!C225/FXs!$C$3</f>
        <v>0</v>
      </c>
      <c r="D225" s="20">
        <f>+Raw_Financials!D225/FXs!$C$4</f>
        <v>0</v>
      </c>
      <c r="E225" s="20">
        <f>+Raw_Financials!E225/FXs!$C$5</f>
        <v>0</v>
      </c>
      <c r="F225" s="20">
        <f>+Raw_Financials!F225/FXs!$C$6</f>
        <v>0</v>
      </c>
      <c r="G225" s="20">
        <f>+Raw_Financials!G225/FXs!$C$7</f>
        <v>0</v>
      </c>
      <c r="H225" s="20">
        <f>+Raw_Financials!H225/FXs!$C$8</f>
        <v>0</v>
      </c>
      <c r="I225" s="20">
        <f>+Raw_Financials!I225/FXs!$C$9</f>
        <v>0</v>
      </c>
      <c r="J225" s="20">
        <f>+Raw_Financials!J225/FXs!$C$10</f>
        <v>0</v>
      </c>
      <c r="K225" s="20">
        <f>+Raw_Financials!K225/FXs!$C$11</f>
        <v>0</v>
      </c>
      <c r="L225" s="20">
        <f t="shared" si="15"/>
        <v>0</v>
      </c>
      <c r="M225" s="20">
        <f t="shared" si="16"/>
        <v>0</v>
      </c>
      <c r="N225" s="21">
        <f t="shared" si="17"/>
        <v>0</v>
      </c>
      <c r="O225" s="21">
        <f t="shared" si="18"/>
        <v>0</v>
      </c>
      <c r="P225" s="21">
        <f t="shared" si="19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6EA27-8643-DB4E-A701-452087BAED0C}">
  <dimension ref="A1:K225"/>
  <sheetViews>
    <sheetView workbookViewId="0">
      <selection activeCell="E3" sqref="E3"/>
    </sheetView>
  </sheetViews>
  <sheetFormatPr baseColWidth="10" defaultRowHeight="13"/>
  <cols>
    <col min="1" max="1" width="48.5" bestFit="1" customWidth="1"/>
    <col min="2" max="11" width="16.1640625" bestFit="1" customWidth="1"/>
  </cols>
  <sheetData>
    <row r="1" spans="1:11">
      <c r="B1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</row>
    <row r="2" spans="1:11">
      <c r="A2" s="1" t="s">
        <v>0</v>
      </c>
      <c r="B2" s="2">
        <v>12</v>
      </c>
      <c r="C2" s="2">
        <v>12</v>
      </c>
      <c r="D2" s="2">
        <v>12</v>
      </c>
      <c r="E2" s="2">
        <v>12</v>
      </c>
      <c r="F2" s="2">
        <v>12</v>
      </c>
      <c r="G2" s="2">
        <v>12</v>
      </c>
      <c r="H2" s="2">
        <v>12</v>
      </c>
      <c r="I2" s="2">
        <v>12</v>
      </c>
      <c r="J2" s="2">
        <v>12</v>
      </c>
      <c r="K2" s="2">
        <v>12</v>
      </c>
    </row>
    <row r="3" spans="1:11">
      <c r="A3" s="3" t="s">
        <v>1</v>
      </c>
      <c r="B3" s="20">
        <f>MEDIAN('converted2usd+IQR'!B3, 'converted2usd+IQR'!$O3, 'converted2usd+IQR'!$P3)</f>
        <v>325069.24799244024</v>
      </c>
      <c r="C3" s="20">
        <f>MEDIAN('converted2usd+IQR'!C3, 'converted2usd+IQR'!$O3, 'converted2usd+IQR'!$P3)</f>
        <v>324618.71127358504</v>
      </c>
      <c r="D3" s="20">
        <f>MEDIAN('converted2usd+IQR'!D3, 'converted2usd+IQR'!$O3, 'converted2usd+IQR'!$P3)</f>
        <v>343542.27826607489</v>
      </c>
      <c r="E3" s="20">
        <f>MEDIAN('converted2usd+IQR'!E3, 'converted2usd+IQR'!$O3, 'converted2usd+IQR'!$P3)</f>
        <v>314017.38025964668</v>
      </c>
      <c r="F3" s="20">
        <f>MEDIAN('converted2usd+IQR'!F3, 'converted2usd+IQR'!$O3, 'converted2usd+IQR'!$P3)</f>
        <v>384257.63896913099</v>
      </c>
      <c r="G3" s="20">
        <f>MEDIAN('converted2usd+IQR'!G3, 'converted2usd+IQR'!$O3, 'converted2usd+IQR'!$P3)</f>
        <v>326367.2863847916</v>
      </c>
      <c r="H3" s="20">
        <f>MEDIAN('converted2usd+IQR'!H3, 'converted2usd+IQR'!$O3, 'converted2usd+IQR'!$P3)</f>
        <v>235364.52639420537</v>
      </c>
      <c r="I3" s="20">
        <f>MEDIAN('converted2usd+IQR'!I3, 'converted2usd+IQR'!$O3, 'converted2usd+IQR'!$P3)</f>
        <v>541429.79376035416</v>
      </c>
      <c r="J3" s="20">
        <f>MEDIAN('converted2usd+IQR'!J3, 'converted2usd+IQR'!$O3, 'converted2usd+IQR'!$P3)</f>
        <v>590914.77462525677</v>
      </c>
      <c r="K3" s="20">
        <f>MEDIAN('converted2usd+IQR'!K3, 'converted2usd+IQR'!$O3, 'converted2usd+IQR'!$P3)</f>
        <v>694328.07301257539</v>
      </c>
    </row>
    <row r="4" spans="1:11">
      <c r="A4" s="3" t="s">
        <v>2</v>
      </c>
      <c r="B4" s="20">
        <f>MEDIAN('converted2usd+IQR'!B4, 'converted2usd+IQR'!$O4, 'converted2usd+IQR'!$P4)</f>
        <v>56858.288194299465</v>
      </c>
      <c r="C4" s="20">
        <f>MEDIAN('converted2usd+IQR'!C4, 'converted2usd+IQR'!$O4, 'converted2usd+IQR'!$P4)</f>
        <v>50010.200660791415</v>
      </c>
      <c r="D4" s="20">
        <f>MEDIAN('converted2usd+IQR'!D4, 'converted2usd+IQR'!$O4, 'converted2usd+IQR'!$P4)</f>
        <v>49004.155897516648</v>
      </c>
      <c r="E4" s="20">
        <f>MEDIAN('converted2usd+IQR'!E4, 'converted2usd+IQR'!$O4, 'converted2usd+IQR'!$P4)</f>
        <v>42688.697650334012</v>
      </c>
      <c r="F4" s="20">
        <f>MEDIAN('converted2usd+IQR'!F4, 'converted2usd+IQR'!$O4, 'converted2usd+IQR'!$P4)</f>
        <v>40759.899336436312</v>
      </c>
      <c r="G4" s="20">
        <f>MEDIAN('converted2usd+IQR'!G4, 'converted2usd+IQR'!$O4, 'converted2usd+IQR'!$P4)</f>
        <v>56730.059993974734</v>
      </c>
      <c r="H4" s="20">
        <f>MEDIAN('converted2usd+IQR'!H4, 'converted2usd+IQR'!$O4, 'converted2usd+IQR'!$P4)</f>
        <v>32766.322686348798</v>
      </c>
      <c r="I4" s="20">
        <f>MEDIAN('converted2usd+IQR'!I4, 'converted2usd+IQR'!$O4, 'converted2usd+IQR'!$P4)</f>
        <v>112896.86865767636</v>
      </c>
      <c r="J4" s="20">
        <f>MEDIAN('converted2usd+IQR'!J4, 'converted2usd+IQR'!$O4, 'converted2usd+IQR'!$P4)</f>
        <v>106971.12547085666</v>
      </c>
      <c r="K4" s="20">
        <f>MEDIAN('converted2usd+IQR'!K4, 'converted2usd+IQR'!$O4, 'converted2usd+IQR'!$P4)</f>
        <v>186532.43405091844</v>
      </c>
    </row>
    <row r="5" spans="1:11">
      <c r="A5" s="3" t="s">
        <v>3</v>
      </c>
      <c r="B5" s="20">
        <f>MEDIAN('converted2usd+IQR'!B5, 'converted2usd+IQR'!$O5, 'converted2usd+IQR'!$P5)</f>
        <v>-6450.24497588543</v>
      </c>
      <c r="C5" s="20">
        <f>MEDIAN('converted2usd+IQR'!C5, 'converted2usd+IQR'!$O5, 'converted2usd+IQR'!$P5)</f>
        <v>-1827.1988785299866</v>
      </c>
      <c r="D5" s="20">
        <f>MEDIAN('converted2usd+IQR'!D5, 'converted2usd+IQR'!$O5, 'converted2usd+IQR'!$P5)</f>
        <v>-2993.2358932597713</v>
      </c>
      <c r="E5" s="20">
        <f>MEDIAN('converted2usd+IQR'!E5, 'converted2usd+IQR'!$O5, 'converted2usd+IQR'!$P5)</f>
        <v>-2601.1522714994207</v>
      </c>
      <c r="F5" s="20">
        <f>MEDIAN('converted2usd+IQR'!F5, 'converted2usd+IQR'!$O5, 'converted2usd+IQR'!$P5)</f>
        <v>7135.6124764264105</v>
      </c>
      <c r="G5" s="20">
        <f>MEDIAN('converted2usd+IQR'!G5, 'converted2usd+IQR'!$O5, 'converted2usd+IQR'!$P5)</f>
        <v>2106.9508600131217</v>
      </c>
      <c r="H5" s="20">
        <f>MEDIAN('converted2usd+IQR'!H5, 'converted2usd+IQR'!$O5, 'converted2usd+IQR'!$P5)</f>
        <v>951.87257556834402</v>
      </c>
      <c r="I5" s="20">
        <f>MEDIAN('converted2usd+IQR'!I5, 'converted2usd+IQR'!$O5, 'converted2usd+IQR'!$P5)</f>
        <v>311786.54238777439</v>
      </c>
      <c r="J5" s="20">
        <f>MEDIAN('converted2usd+IQR'!J5, 'converted2usd+IQR'!$O5, 'converted2usd+IQR'!$P5)</f>
        <v>372232.02040021942</v>
      </c>
      <c r="K5" s="20">
        <f>MEDIAN('converted2usd+IQR'!K5, 'converted2usd+IQR'!$O5, 'converted2usd+IQR'!$P5)</f>
        <v>489854.52423353604</v>
      </c>
    </row>
    <row r="6" spans="1:11">
      <c r="A6" s="3" t="s">
        <v>4</v>
      </c>
      <c r="B6" s="20">
        <f>MEDIAN('converted2usd+IQR'!B6, 'converted2usd+IQR'!$O6, 'converted2usd+IQR'!$P6)</f>
        <v>325337.49791344942</v>
      </c>
      <c r="C6" s="20">
        <f>MEDIAN('converted2usd+IQR'!C6, 'converted2usd+IQR'!$O6, 'converted2usd+IQR'!$P6)</f>
        <v>300252.50603206793</v>
      </c>
      <c r="D6" s="20">
        <f>MEDIAN('converted2usd+IQR'!D6, 'converted2usd+IQR'!$O6, 'converted2usd+IQR'!$P6)</f>
        <v>297684.70578625426</v>
      </c>
      <c r="E6" s="20">
        <f>MEDIAN('converted2usd+IQR'!E6, 'converted2usd+IQR'!$O6, 'converted2usd+IQR'!$P6)</f>
        <v>259989.04464383516</v>
      </c>
      <c r="F6" s="20">
        <f>MEDIAN('converted2usd+IQR'!F6, 'converted2usd+IQR'!$O6, 'converted2usd+IQR'!$P6)</f>
        <v>331613.73475213163</v>
      </c>
      <c r="G6" s="20">
        <f>MEDIAN('converted2usd+IQR'!G6, 'converted2usd+IQR'!$O6, 'converted2usd+IQR'!$P6)</f>
        <v>291511.27022347128</v>
      </c>
      <c r="H6" s="20">
        <f>MEDIAN('converted2usd+IQR'!H6, 'converted2usd+IQR'!$O6, 'converted2usd+IQR'!$P6)</f>
        <v>185689.15536416735</v>
      </c>
      <c r="I6" s="20">
        <f>MEDIAN('converted2usd+IQR'!I6, 'converted2usd+IQR'!$O6, 'converted2usd+IQR'!$P6)</f>
        <v>174908.08275243928</v>
      </c>
      <c r="J6" s="20">
        <f>MEDIAN('converted2usd+IQR'!J6, 'converted2usd+IQR'!$O6, 'converted2usd+IQR'!$P6)</f>
        <v>183385.16628770527</v>
      </c>
      <c r="K6" s="20">
        <f>MEDIAN('converted2usd+IQR'!K6, 'converted2usd+IQR'!$O6, 'converted2usd+IQR'!$P6)</f>
        <v>319442.67237203912</v>
      </c>
    </row>
    <row r="7" spans="1:11">
      <c r="A7" s="3" t="s">
        <v>5</v>
      </c>
      <c r="B7" s="20">
        <f>MEDIAN('converted2usd+IQR'!B7, 'converted2usd+IQR'!$O7, 'converted2usd+IQR'!$P7)</f>
        <v>60940.571207993191</v>
      </c>
      <c r="C7" s="20">
        <f>MEDIAN('converted2usd+IQR'!C7, 'converted2usd+IQR'!$O7, 'converted2usd+IQR'!$P7)</f>
        <v>76203.604780838505</v>
      </c>
      <c r="D7" s="20">
        <f>MEDIAN('converted2usd+IQR'!D7, 'converted2usd+IQR'!$O7, 'converted2usd+IQR'!$P7)</f>
        <v>97854.965570072964</v>
      </c>
      <c r="E7" s="20">
        <f>MEDIAN('converted2usd+IQR'!E7, 'converted2usd+IQR'!$O7, 'converted2usd+IQR'!$P7)</f>
        <v>99318.185726106414</v>
      </c>
      <c r="F7" s="20">
        <f>MEDIAN('converted2usd+IQR'!F7, 'converted2usd+IQR'!$O7, 'converted2usd+IQR'!$P7)</f>
        <v>86268.191419614363</v>
      </c>
      <c r="G7" s="20">
        <f>MEDIAN('converted2usd+IQR'!G7, 'converted2usd+IQR'!$O7, 'converted2usd+IQR'!$P7)</f>
        <v>89479.12568382945</v>
      </c>
      <c r="H7" s="20">
        <f>MEDIAN('converted2usd+IQR'!H7, 'converted2usd+IQR'!$O7, 'converted2usd+IQR'!$P7)</f>
        <v>81489.821584326812</v>
      </c>
      <c r="I7" s="20">
        <f>MEDIAN('converted2usd+IQR'!I7, 'converted2usd+IQR'!$O7, 'converted2usd+IQR'!$P7)</f>
        <v>163234.04580326044</v>
      </c>
      <c r="J7" s="20">
        <f>MEDIAN('converted2usd+IQR'!J7, 'converted2usd+IQR'!$O7, 'converted2usd+IQR'!$P7)</f>
        <v>142268.71347710059</v>
      </c>
      <c r="K7" s="20">
        <f>MEDIAN('converted2usd+IQR'!K7, 'converted2usd+IQR'!$O7, 'converted2usd+IQR'!$P7)</f>
        <v>71563.310629819738</v>
      </c>
    </row>
    <row r="8" spans="1:11">
      <c r="A8" s="3" t="s">
        <v>6</v>
      </c>
      <c r="B8" s="20">
        <f>MEDIAN('converted2usd+IQR'!B8, 'converted2usd+IQR'!$O8, 'converted2usd+IQR'!$P8)</f>
        <v>36117.71061660054</v>
      </c>
      <c r="C8" s="20">
        <f>MEDIAN('converted2usd+IQR'!C8, 'converted2usd+IQR'!$O8, 'converted2usd+IQR'!$P8)</f>
        <v>-20675.063239026153</v>
      </c>
      <c r="D8" s="20">
        <f>MEDIAN('converted2usd+IQR'!D8, 'converted2usd+IQR'!$O8, 'converted2usd+IQR'!$P8)</f>
        <v>-1989.1676918088251</v>
      </c>
      <c r="E8" s="20">
        <f>MEDIAN('converted2usd+IQR'!E8, 'converted2usd+IQR'!$O8, 'converted2usd+IQR'!$P8)</f>
        <v>-525.03448845269088</v>
      </c>
      <c r="F8" s="20">
        <f>MEDIAN('converted2usd+IQR'!F8, 'converted2usd+IQR'!$O8, 'converted2usd+IQR'!$P8)</f>
        <v>2608.6132753188772</v>
      </c>
      <c r="G8" s="20">
        <f>MEDIAN('converted2usd+IQR'!G8, 'converted2usd+IQR'!$O8, 'converted2usd+IQR'!$P8)</f>
        <v>-19485.826471341832</v>
      </c>
      <c r="H8" s="20">
        <f>MEDIAN('converted2usd+IQR'!H8, 'converted2usd+IQR'!$O8, 'converted2usd+IQR'!$P8)</f>
        <v>-1203.3320938669015</v>
      </c>
      <c r="I8" s="20">
        <f>MEDIAN('converted2usd+IQR'!I8, 'converted2usd+IQR'!$O8, 'converted2usd+IQR'!$P8)</f>
        <v>8981.1225391957742</v>
      </c>
      <c r="J8" s="20">
        <f>MEDIAN('converted2usd+IQR'!J8, 'converted2usd+IQR'!$O8, 'converted2usd+IQR'!$P8)</f>
        <v>-2255.0462021500975</v>
      </c>
      <c r="K8" s="20">
        <f>MEDIAN('converted2usd+IQR'!K8, 'converted2usd+IQR'!$O8, 'converted2usd+IQR'!$P8)</f>
        <v>31851.184802497926</v>
      </c>
    </row>
    <row r="9" spans="1:11">
      <c r="A9" s="5" t="s">
        <v>7</v>
      </c>
      <c r="B9" s="20">
        <f>MEDIAN('converted2usd+IQR'!B9, 'converted2usd+IQR'!$O9, 'converted2usd+IQR'!$P9)</f>
        <v>381927.53618673969</v>
      </c>
      <c r="C9" s="20">
        <f>MEDIAN('converted2usd+IQR'!C9, 'converted2usd+IQR'!$O9, 'converted2usd+IQR'!$P9)</f>
        <v>374628.91193437646</v>
      </c>
      <c r="D9" s="20">
        <f>MEDIAN('converted2usd+IQR'!D9, 'converted2usd+IQR'!$O9, 'converted2usd+IQR'!$P9)</f>
        <v>392546.43416359153</v>
      </c>
      <c r="E9" s="20">
        <f>MEDIAN('converted2usd+IQR'!E9, 'converted2usd+IQR'!$O9, 'converted2usd+IQR'!$P9)</f>
        <v>356706.07790998073</v>
      </c>
      <c r="F9" s="20">
        <f>MEDIAN('converted2usd+IQR'!F9, 'converted2usd+IQR'!$O9, 'converted2usd+IQR'!$P9)</f>
        <v>425017.53830556734</v>
      </c>
      <c r="G9" s="20">
        <f>MEDIAN('converted2usd+IQR'!G9, 'converted2usd+IQR'!$O9, 'converted2usd+IQR'!$P9)</f>
        <v>383097.34637876635</v>
      </c>
      <c r="H9" s="20">
        <f>MEDIAN('converted2usd+IQR'!H9, 'converted2usd+IQR'!$O9, 'converted2usd+IQR'!$P9)</f>
        <v>268130.84908055415</v>
      </c>
      <c r="I9" s="20">
        <f>MEDIAN('converted2usd+IQR'!I9, 'converted2usd+IQR'!$O9, 'converted2usd+IQR'!$P9)</f>
        <v>654326.66241803055</v>
      </c>
      <c r="J9" s="20">
        <f>MEDIAN('converted2usd+IQR'!J9, 'converted2usd+IQR'!$O9, 'converted2usd+IQR'!$P9)</f>
        <v>697885.90009611344</v>
      </c>
      <c r="K9" s="20">
        <f>MEDIAN('converted2usd+IQR'!K9, 'converted2usd+IQR'!$O9, 'converted2usd+IQR'!$P9)</f>
        <v>880860.50706349383</v>
      </c>
    </row>
    <row r="10" spans="1:11">
      <c r="A10" s="5" t="s">
        <v>8</v>
      </c>
      <c r="B10" s="20">
        <f>MEDIAN('converted2usd+IQR'!B10, 'converted2usd+IQR'!$O10, 'converted2usd+IQR'!$P10)</f>
        <v>379827.82414555718</v>
      </c>
      <c r="C10" s="20">
        <f>MEDIAN('converted2usd+IQR'!C10, 'converted2usd+IQR'!$O10, 'converted2usd+IQR'!$P10)</f>
        <v>374628.91193437646</v>
      </c>
      <c r="D10" s="20">
        <f>MEDIAN('converted2usd+IQR'!D10, 'converted2usd+IQR'!$O10, 'converted2usd+IQR'!$P10)</f>
        <v>392546.43546306744</v>
      </c>
      <c r="E10" s="20">
        <f>MEDIAN('converted2usd+IQR'!E10, 'converted2usd+IQR'!$O10, 'converted2usd+IQR'!$P10)</f>
        <v>356706.07809844211</v>
      </c>
      <c r="F10" s="20">
        <f>MEDIAN('converted2usd+IQR'!F10, 'converted2usd+IQR'!$O10, 'converted2usd+IQR'!$P10)</f>
        <v>425017.53864817246</v>
      </c>
      <c r="G10" s="20">
        <f>MEDIAN('converted2usd+IQR'!G10, 'converted2usd+IQR'!$O10, 'converted2usd+IQR'!$P10)</f>
        <v>383097.34676731378</v>
      </c>
      <c r="H10" s="20">
        <f>MEDIAN('converted2usd+IQR'!H10, 'converted2usd+IQR'!$O10, 'converted2usd+IQR'!$P10)</f>
        <v>268130.84952406253</v>
      </c>
      <c r="I10" s="20">
        <f>MEDIAN('converted2usd+IQR'!I10, 'converted2usd+IQR'!$O10, 'converted2usd+IQR'!$P10)</f>
        <v>654326.6627399713</v>
      </c>
      <c r="J10" s="20">
        <f>MEDIAN('converted2usd+IQR'!J10, 'converted2usd+IQR'!$O10, 'converted2usd+IQR'!$P10)</f>
        <v>697885.90016502538</v>
      </c>
      <c r="K10" s="20">
        <f>MEDIAN('converted2usd+IQR'!K10, 'converted2usd+IQR'!$O10, 'converted2usd+IQR'!$P10)</f>
        <v>880860.50723539491</v>
      </c>
    </row>
    <row r="11" spans="1:11">
      <c r="A11" s="5" t="s">
        <v>9</v>
      </c>
      <c r="B11" s="20">
        <f>MEDIAN('converted2usd+IQR'!B11, 'converted2usd+IQR'!$O11, 'converted2usd+IQR'!$P11)</f>
        <v>4810.2631586791467</v>
      </c>
      <c r="C11" s="20">
        <f>MEDIAN('converted2usd+IQR'!C11, 'converted2usd+IQR'!$O11, 'converted2usd+IQR'!$P11)</f>
        <v>4022.0577567472883</v>
      </c>
      <c r="D11" s="20">
        <f>MEDIAN('converted2usd+IQR'!D11, 'converted2usd+IQR'!$O11, 'converted2usd+IQR'!$P11)</f>
        <v>6082.41132004479</v>
      </c>
      <c r="E11" s="20">
        <f>MEDIAN('converted2usd+IQR'!E11, 'converted2usd+IQR'!$O11, 'converted2usd+IQR'!$P11)</f>
        <v>6230.6033908709369</v>
      </c>
      <c r="F11" s="20">
        <f>MEDIAN('converted2usd+IQR'!F11, 'converted2usd+IQR'!$O11, 'converted2usd+IQR'!$P11)</f>
        <v>17790.249727862574</v>
      </c>
      <c r="G11" s="20">
        <f>MEDIAN('converted2usd+IQR'!G11, 'converted2usd+IQR'!$O11, 'converted2usd+IQR'!$P11)</f>
        <v>13117.24368962382</v>
      </c>
      <c r="H11" s="20">
        <f>MEDIAN('converted2usd+IQR'!H11, 'converted2usd+IQR'!$O11, 'converted2usd+IQR'!$P11)</f>
        <v>7315.5726656197685</v>
      </c>
      <c r="I11" s="20">
        <f>MEDIAN('converted2usd+IQR'!I11, 'converted2usd+IQR'!$O11, 'converted2usd+IQR'!$P11)</f>
        <v>6453.7354373627059</v>
      </c>
      <c r="J11" s="20">
        <f>MEDIAN('converted2usd+IQR'!J11, 'converted2usd+IQR'!$O11, 'converted2usd+IQR'!$P11)</f>
        <v>10024.250993233803</v>
      </c>
      <c r="K11" s="20">
        <f>MEDIAN('converted2usd+IQR'!K11, 'converted2usd+IQR'!$O11, 'converted2usd+IQR'!$P11)</f>
        <v>12851.247684383517</v>
      </c>
    </row>
    <row r="12" spans="1:11">
      <c r="A12" s="6" t="s">
        <v>10</v>
      </c>
      <c r="B12" s="20">
        <f>MEDIAN('converted2usd+IQR'!B12, 'converted2usd+IQR'!$O12, 'converted2usd+IQR'!$P12)</f>
        <v>285805.62969101127</v>
      </c>
      <c r="C12" s="20">
        <f>MEDIAN('converted2usd+IQR'!C12, 'converted2usd+IQR'!$O12, 'converted2usd+IQR'!$P12)</f>
        <v>299048.96647054603</v>
      </c>
      <c r="D12" s="20">
        <f>MEDIAN('converted2usd+IQR'!D12, 'converted2usd+IQR'!$O12, 'converted2usd+IQR'!$P12)</f>
        <v>327697.79908368055</v>
      </c>
      <c r="E12" s="20">
        <f>MEDIAN('converted2usd+IQR'!E12, 'converted2usd+IQR'!$O12, 'converted2usd+IQR'!$P12)</f>
        <v>304895.61779471394</v>
      </c>
      <c r="F12" s="20">
        <f>MEDIAN('converted2usd+IQR'!F12, 'converted2usd+IQR'!$O12, 'converted2usd+IQR'!$P12)</f>
        <v>309085.65804288338</v>
      </c>
      <c r="G12" s="20">
        <f>MEDIAN('converted2usd+IQR'!G12, 'converted2usd+IQR'!$O12, 'converted2usd+IQR'!$P12)</f>
        <v>269166.67732825794</v>
      </c>
      <c r="H12" s="20">
        <f>MEDIAN('converted2usd+IQR'!H12, 'converted2usd+IQR'!$O12, 'converted2usd+IQR'!$P12)</f>
        <v>189077.7081034095</v>
      </c>
      <c r="I12" s="20">
        <f>MEDIAN('converted2usd+IQR'!I12, 'converted2usd+IQR'!$O12, 'converted2usd+IQR'!$P12)</f>
        <v>385983.7633901182</v>
      </c>
      <c r="J12" s="20">
        <f>MEDIAN('converted2usd+IQR'!J12, 'converted2usd+IQR'!$O12, 'converted2usd+IQR'!$P12)</f>
        <v>466023.21860430925</v>
      </c>
      <c r="K12" s="20">
        <f>MEDIAN('converted2usd+IQR'!K12, 'converted2usd+IQR'!$O12, 'converted2usd+IQR'!$P12)</f>
        <v>486355.38802274596</v>
      </c>
    </row>
    <row r="13" spans="1:11">
      <c r="A13" s="5" t="s">
        <v>11</v>
      </c>
      <c r="B13" s="20">
        <f>MEDIAN('converted2usd+IQR'!B13, 'converted2usd+IQR'!$O13, 'converted2usd+IQR'!$P13)</f>
        <v>481.11280187908665</v>
      </c>
      <c r="C13" s="20">
        <f>MEDIAN('converted2usd+IQR'!C13, 'converted2usd+IQR'!$O13, 'converted2usd+IQR'!$P13)</f>
        <v>409.0188440312437</v>
      </c>
      <c r="D13" s="20">
        <f>MEDIAN('converted2usd+IQR'!D13, 'converted2usd+IQR'!$O13, 'converted2usd+IQR'!$P13)</f>
        <v>530.54252504275371</v>
      </c>
      <c r="E13" s="20">
        <f>MEDIAN('converted2usd+IQR'!E13, 'converted2usd+IQR'!$O13, 'converted2usd+IQR'!$P13)</f>
        <v>512.96503770127333</v>
      </c>
      <c r="F13" s="20">
        <f>MEDIAN('converted2usd+IQR'!F13, 'converted2usd+IQR'!$O13, 'converted2usd+IQR'!$P13)</f>
        <v>590.65778593108075</v>
      </c>
      <c r="G13" s="20">
        <f>MEDIAN('converted2usd+IQR'!G13, 'converted2usd+IQR'!$O13, 'converted2usd+IQR'!$P13)</f>
        <v>447.25564449600074</v>
      </c>
      <c r="H13" s="20">
        <f>MEDIAN('converted2usd+IQR'!H13, 'converted2usd+IQR'!$O13, 'converted2usd+IQR'!$P13)</f>
        <v>259.55036615144547</v>
      </c>
      <c r="I13" s="20">
        <f>MEDIAN('converted2usd+IQR'!I13, 'converted2usd+IQR'!$O13, 'converted2usd+IQR'!$P13)</f>
        <v>1069.1242162144601</v>
      </c>
      <c r="J13" s="20">
        <f>MEDIAN('converted2usd+IQR'!J13, 'converted2usd+IQR'!$O13, 'converted2usd+IQR'!$P13)</f>
        <v>885.67205349926155</v>
      </c>
      <c r="K13" s="20">
        <f>MEDIAN('converted2usd+IQR'!K13, 'converted2usd+IQR'!$O13, 'converted2usd+IQR'!$P13)</f>
        <v>822.52423249810101</v>
      </c>
    </row>
    <row r="14" spans="1:11">
      <c r="A14" s="6" t="s">
        <v>12</v>
      </c>
      <c r="B14" s="20">
        <f>MEDIAN('converted2usd+IQR'!B14, 'converted2usd+IQR'!$O14, 'converted2usd+IQR'!$P14)</f>
        <v>7177.9176379060455</v>
      </c>
      <c r="C14" s="20">
        <f>MEDIAN('converted2usd+IQR'!C14, 'converted2usd+IQR'!$O14, 'converted2usd+IQR'!$P14)</f>
        <v>7260.9833968241819</v>
      </c>
      <c r="D14" s="20">
        <f>MEDIAN('converted2usd+IQR'!D14, 'converted2usd+IQR'!$O14, 'converted2usd+IQR'!$P14)</f>
        <v>7710.2906370896917</v>
      </c>
      <c r="E14" s="20">
        <f>MEDIAN('converted2usd+IQR'!E14, 'converted2usd+IQR'!$O14, 'converted2usd+IQR'!$P14)</f>
        <v>6540.9770382110264</v>
      </c>
      <c r="F14" s="20">
        <f>MEDIAN('converted2usd+IQR'!F14, 'converted2usd+IQR'!$O14, 'converted2usd+IQR'!$P14)</f>
        <v>6282.6926568857843</v>
      </c>
      <c r="G14" s="20">
        <f>MEDIAN('converted2usd+IQR'!G14, 'converted2usd+IQR'!$O14, 'converted2usd+IQR'!$P14)</f>
        <v>5355.8384543696129</v>
      </c>
      <c r="H14" s="20">
        <f>MEDIAN('converted2usd+IQR'!H14, 'converted2usd+IQR'!$O14, 'converted2usd+IQR'!$P14)</f>
        <v>3636.4044654214349</v>
      </c>
      <c r="I14" s="20">
        <f>MEDIAN('converted2usd+IQR'!I14, 'converted2usd+IQR'!$O14, 'converted2usd+IQR'!$P14)</f>
        <v>11539.079473763526</v>
      </c>
      <c r="J14" s="20">
        <f>MEDIAN('converted2usd+IQR'!J14, 'converted2usd+IQR'!$O14, 'converted2usd+IQR'!$P14)</f>
        <v>12689.893993802481</v>
      </c>
      <c r="K14" s="20">
        <f>MEDIAN('converted2usd+IQR'!K14, 'converted2usd+IQR'!$O14, 'converted2usd+IQR'!$P14)</f>
        <v>12386.30841034464</v>
      </c>
    </row>
    <row r="15" spans="1:11">
      <c r="A15" s="5" t="s">
        <v>13</v>
      </c>
      <c r="B15" s="20">
        <f>MEDIAN('converted2usd+IQR'!B15, 'converted2usd+IQR'!$O15, 'converted2usd+IQR'!$P15)</f>
        <v>41072.922451875143</v>
      </c>
      <c r="C15" s="20">
        <f>MEDIAN('converted2usd+IQR'!C15, 'converted2usd+IQR'!$O15, 'converted2usd+IQR'!$P15)</f>
        <v>43973.59532234411</v>
      </c>
      <c r="D15" s="20">
        <f>MEDIAN('converted2usd+IQR'!D15, 'converted2usd+IQR'!$O15, 'converted2usd+IQR'!$P15)</f>
        <v>47215.650431054288</v>
      </c>
      <c r="E15" s="20">
        <f>MEDIAN('converted2usd+IQR'!E15, 'converted2usd+IQR'!$O15, 'converted2usd+IQR'!$P15)</f>
        <v>38981.506166280538</v>
      </c>
      <c r="F15" s="20">
        <f>MEDIAN('converted2usd+IQR'!F15, 'converted2usd+IQR'!$O15, 'converted2usd+IQR'!$P15)</f>
        <v>41117.602201392343</v>
      </c>
      <c r="G15" s="20">
        <f>MEDIAN('converted2usd+IQR'!G15, 'converted2usd+IQR'!$O15, 'converted2usd+IQR'!$P15)</f>
        <v>33629.397588190426</v>
      </c>
      <c r="H15" s="20">
        <f>MEDIAN('converted2usd+IQR'!H15, 'converted2usd+IQR'!$O15, 'converted2usd+IQR'!$P15)</f>
        <v>22488.003013927948</v>
      </c>
      <c r="I15" s="20">
        <f>MEDIAN('converted2usd+IQR'!I15, 'converted2usd+IQR'!$O15, 'converted2usd+IQR'!$P15)</f>
        <v>83465.603623102812</v>
      </c>
      <c r="J15" s="20">
        <f>MEDIAN('converted2usd+IQR'!J15, 'converted2usd+IQR'!$O15, 'converted2usd+IQR'!$P15)</f>
        <v>76202.734281604629</v>
      </c>
      <c r="K15" s="20">
        <f>MEDIAN('converted2usd+IQR'!K15, 'converted2usd+IQR'!$O15, 'converted2usd+IQR'!$P15)</f>
        <v>83530.363988523124</v>
      </c>
    </row>
    <row r="16" spans="1:11">
      <c r="A16" s="6" t="s">
        <v>14</v>
      </c>
      <c r="B16" s="20">
        <f>MEDIAN('converted2usd+IQR'!B16, 'converted2usd+IQR'!$O16, 'converted2usd+IQR'!$P16)</f>
        <v>26763.148261307571</v>
      </c>
      <c r="C16" s="20">
        <f>MEDIAN('converted2usd+IQR'!C16, 'converted2usd+IQR'!$O16, 'converted2usd+IQR'!$P16)</f>
        <v>22547.275953535944</v>
      </c>
      <c r="D16" s="20">
        <f>MEDIAN('converted2usd+IQR'!D16, 'converted2usd+IQR'!$O16, 'converted2usd+IQR'!$P16)</f>
        <v>28857.14104141216</v>
      </c>
      <c r="E16" s="20">
        <f>MEDIAN('converted2usd+IQR'!E16, 'converted2usd+IQR'!$O16, 'converted2usd+IQR'!$P16)</f>
        <v>26390.023117942837</v>
      </c>
      <c r="F16" s="20">
        <f>MEDIAN('converted2usd+IQR'!F16, 'converted2usd+IQR'!$O16, 'converted2usd+IQR'!$P16)</f>
        <v>27130.073846939555</v>
      </c>
      <c r="G16" s="20">
        <f>MEDIAN('converted2usd+IQR'!G16, 'converted2usd+IQR'!$O16, 'converted2usd+IQR'!$P16)</f>
        <v>25212.051254473237</v>
      </c>
      <c r="H16" s="20">
        <f>MEDIAN('converted2usd+IQR'!H16, 'converted2usd+IQR'!$O16, 'converted2usd+IQR'!$P16)</f>
        <v>16621.772734167662</v>
      </c>
      <c r="I16" s="20">
        <f>MEDIAN('converted2usd+IQR'!I16, 'converted2usd+IQR'!$O16, 'converted2usd+IQR'!$P16)</f>
        <v>37352.90620190461</v>
      </c>
      <c r="J16" s="20">
        <f>MEDIAN('converted2usd+IQR'!J16, 'converted2usd+IQR'!$O16, 'converted2usd+IQR'!$P16)</f>
        <v>37352.90620190461</v>
      </c>
      <c r="K16" s="20">
        <f>MEDIAN('converted2usd+IQR'!K16, 'converted2usd+IQR'!$O16, 'converted2usd+IQR'!$P16)</f>
        <v>27301.115738690038</v>
      </c>
    </row>
    <row r="17" spans="1:11">
      <c r="A17" s="5" t="s">
        <v>15</v>
      </c>
      <c r="B17" s="20">
        <f>MEDIAN('converted2usd+IQR'!B17, 'converted2usd+IQR'!$O17, 'converted2usd+IQR'!$P17)</f>
        <v>0</v>
      </c>
      <c r="C17" s="20">
        <f>MEDIAN('converted2usd+IQR'!C17, 'converted2usd+IQR'!$O17, 'converted2usd+IQR'!$P17)</f>
        <v>0</v>
      </c>
      <c r="D17" s="20">
        <f>MEDIAN('converted2usd+IQR'!D17, 'converted2usd+IQR'!$O17, 'converted2usd+IQR'!$P17)</f>
        <v>0</v>
      </c>
      <c r="E17" s="20">
        <f>MEDIAN('converted2usd+IQR'!E17, 'converted2usd+IQR'!$O17, 'converted2usd+IQR'!$P17)</f>
        <v>0</v>
      </c>
      <c r="F17" s="20">
        <f>MEDIAN('converted2usd+IQR'!F17, 'converted2usd+IQR'!$O17, 'converted2usd+IQR'!$P17)</f>
        <v>0</v>
      </c>
      <c r="G17" s="20">
        <f>MEDIAN('converted2usd+IQR'!G17, 'converted2usd+IQR'!$O17, 'converted2usd+IQR'!$P17)</f>
        <v>0</v>
      </c>
      <c r="H17" s="20">
        <f>MEDIAN('converted2usd+IQR'!H17, 'converted2usd+IQR'!$O17, 'converted2usd+IQR'!$P17)</f>
        <v>0</v>
      </c>
      <c r="I17" s="20">
        <f>MEDIAN('converted2usd+IQR'!I17, 'converted2usd+IQR'!$O17, 'converted2usd+IQR'!$P17)</f>
        <v>789.18699954368105</v>
      </c>
      <c r="J17" s="20">
        <f>MEDIAN('converted2usd+IQR'!J17, 'converted2usd+IQR'!$O17, 'converted2usd+IQR'!$P17)</f>
        <v>1209.9726797115766</v>
      </c>
      <c r="K17" s="20">
        <f>MEDIAN('converted2usd+IQR'!K17, 'converted2usd+IQR'!$O17, 'converted2usd+IQR'!$P17)</f>
        <v>2367.5609986310433</v>
      </c>
    </row>
    <row r="18" spans="1:11">
      <c r="A18" s="6" t="s">
        <v>16</v>
      </c>
      <c r="B18" s="20">
        <f>MEDIAN('converted2usd+IQR'!B18, 'converted2usd+IQR'!$O18, 'converted2usd+IQR'!$P18)</f>
        <v>4812.6157290107894</v>
      </c>
      <c r="C18" s="20">
        <f>MEDIAN('converted2usd+IQR'!C18, 'converted2usd+IQR'!$O18, 'converted2usd+IQR'!$P18)</f>
        <v>648.59563502196045</v>
      </c>
      <c r="D18" s="20">
        <f>MEDIAN('converted2usd+IQR'!D18, 'converted2usd+IQR'!$O18, 'converted2usd+IQR'!$P18)</f>
        <v>438.88892326655656</v>
      </c>
      <c r="E18" s="20">
        <f>MEDIAN('converted2usd+IQR'!E18, 'converted2usd+IQR'!$O18, 'converted2usd+IQR'!$P18)</f>
        <v>144.42765142880756</v>
      </c>
      <c r="F18" s="20">
        <f>MEDIAN('converted2usd+IQR'!F18, 'converted2usd+IQR'!$O18, 'converted2usd+IQR'!$P18)</f>
        <v>225.23945750063356</v>
      </c>
      <c r="G18" s="20">
        <f>MEDIAN('converted2usd+IQR'!G18, 'converted2usd+IQR'!$O18, 'converted2usd+IQR'!$P18)</f>
        <v>717.24792422762164</v>
      </c>
      <c r="H18" s="20">
        <f>MEDIAN('converted2usd+IQR'!H18, 'converted2usd+IQR'!$O18, 'converted2usd+IQR'!$P18)</f>
        <v>5165.9098540471732</v>
      </c>
      <c r="I18" s="20">
        <f>MEDIAN('converted2usd+IQR'!I18, 'converted2usd+IQR'!$O18, 'converted2usd+IQR'!$P18)</f>
        <v>162547.20287366447</v>
      </c>
      <c r="J18" s="20">
        <f>MEDIAN('converted2usd+IQR'!J18, 'converted2usd+IQR'!$O18, 'converted2usd+IQR'!$P18)</f>
        <v>124072.32693021382</v>
      </c>
      <c r="K18" s="20">
        <f>MEDIAN('converted2usd+IQR'!K18, 'converted2usd+IQR'!$O18, 'converted2usd+IQR'!$P18)</f>
        <v>228184.41567939566</v>
      </c>
    </row>
    <row r="19" spans="1:11">
      <c r="A19" s="5" t="s">
        <v>17</v>
      </c>
      <c r="B19" s="20">
        <f>MEDIAN('converted2usd+IQR'!B19, 'converted2usd+IQR'!$O19, 'converted2usd+IQR'!$P19)</f>
        <v>0</v>
      </c>
      <c r="C19" s="20">
        <f>MEDIAN('converted2usd+IQR'!C19, 'converted2usd+IQR'!$O19, 'converted2usd+IQR'!$P19)</f>
        <v>0</v>
      </c>
      <c r="D19" s="20">
        <f>MEDIAN('converted2usd+IQR'!D19, 'converted2usd+IQR'!$O19, 'converted2usd+IQR'!$P19)</f>
        <v>0</v>
      </c>
      <c r="E19" s="20">
        <f>MEDIAN('converted2usd+IQR'!E19, 'converted2usd+IQR'!$O19, 'converted2usd+IQR'!$P19)</f>
        <v>0</v>
      </c>
      <c r="F19" s="20">
        <f>MEDIAN('converted2usd+IQR'!F19, 'converted2usd+IQR'!$O19, 'converted2usd+IQR'!$P19)</f>
        <v>0</v>
      </c>
      <c r="G19" s="20">
        <f>MEDIAN('converted2usd+IQR'!G19, 'converted2usd+IQR'!$O19, 'converted2usd+IQR'!$P19)</f>
        <v>0</v>
      </c>
      <c r="H19" s="20">
        <f>MEDIAN('converted2usd+IQR'!H19, 'converted2usd+IQR'!$O19, 'converted2usd+IQR'!$P19)</f>
        <v>0</v>
      </c>
      <c r="I19" s="20">
        <f>MEDIAN('converted2usd+IQR'!I19, 'converted2usd+IQR'!$O19, 'converted2usd+IQR'!$P19)</f>
        <v>0</v>
      </c>
      <c r="J19" s="20">
        <f>MEDIAN('converted2usd+IQR'!J19, 'converted2usd+IQR'!$O19, 'converted2usd+IQR'!$P19)</f>
        <v>0</v>
      </c>
      <c r="K19" s="20">
        <f>MEDIAN('converted2usd+IQR'!K19, 'converted2usd+IQR'!$O19, 'converted2usd+IQR'!$P19)</f>
        <v>0</v>
      </c>
    </row>
    <row r="20" spans="1:11">
      <c r="A20" s="7" t="s">
        <v>18</v>
      </c>
      <c r="B20" s="20">
        <f>MEDIAN('converted2usd+IQR'!B20, 'converted2usd+IQR'!$O20, 'converted2usd+IQR'!$P20)</f>
        <v>370923.60973166907</v>
      </c>
      <c r="C20" s="20">
        <f>MEDIAN('converted2usd+IQR'!C20, 'converted2usd+IQR'!$O20, 'converted2usd+IQR'!$P20)</f>
        <v>377910.49337905075</v>
      </c>
      <c r="D20" s="20">
        <f>MEDIAN('converted2usd+IQR'!D20, 'converted2usd+IQR'!$O20, 'converted2usd+IQR'!$P20)</f>
        <v>418532.72396159085</v>
      </c>
      <c r="E20" s="20">
        <f>MEDIAN('converted2usd+IQR'!E20, 'converted2usd+IQR'!$O20, 'converted2usd+IQR'!$P20)</f>
        <v>383696.12019714934</v>
      </c>
      <c r="F20" s="20">
        <f>MEDIAN('converted2usd+IQR'!F20, 'converted2usd+IQR'!$O20, 'converted2usd+IQR'!$P20)</f>
        <v>402222.17371939536</v>
      </c>
      <c r="G20" s="20">
        <f>MEDIAN('converted2usd+IQR'!G20, 'converted2usd+IQR'!$O20, 'converted2usd+IQR'!$P20)</f>
        <v>347645.71188363864</v>
      </c>
      <c r="H20" s="20">
        <f>MEDIAN('converted2usd+IQR'!H20, 'converted2usd+IQR'!$O20, 'converted2usd+IQR'!$P20)</f>
        <v>243363.27768054008</v>
      </c>
      <c r="I20" s="20">
        <f>MEDIAN('converted2usd+IQR'!I20, 'converted2usd+IQR'!$O20, 'converted2usd+IQR'!$P20)</f>
        <v>700456.16087576386</v>
      </c>
      <c r="J20" s="20">
        <f>MEDIAN('converted2usd+IQR'!J20, 'converted2usd+IQR'!$O20, 'converted2usd+IQR'!$P20)</f>
        <v>734524.62900948082</v>
      </c>
      <c r="K20" s="20">
        <f>MEDIAN('converted2usd+IQR'!K20, 'converted2usd+IQR'!$O20, 'converted2usd+IQR'!$P20)</f>
        <v>855926.99388357555</v>
      </c>
    </row>
    <row r="21" spans="1:11">
      <c r="A21" s="5" t="s">
        <v>19</v>
      </c>
      <c r="B21" s="20">
        <f>MEDIAN('converted2usd+IQR'!B21, 'converted2usd+IQR'!$O21, 'converted2usd+IQR'!$P21)</f>
        <v>58865.197968892426</v>
      </c>
      <c r="C21" s="20">
        <f>MEDIAN('converted2usd+IQR'!C21, 'converted2usd+IQR'!$O21, 'converted2usd+IQR'!$P21)</f>
        <v>66778.409461620919</v>
      </c>
      <c r="D21" s="20">
        <f>MEDIAN('converted2usd+IQR'!D21, 'converted2usd+IQR'!$O21, 'converted2usd+IQR'!$P21)</f>
        <v>81214.363974564127</v>
      </c>
      <c r="E21" s="20">
        <f>MEDIAN('converted2usd+IQR'!E21, 'converted2usd+IQR'!$O21, 'converted2usd+IQR'!$P21)</f>
        <v>77459.668442392838</v>
      </c>
      <c r="F21" s="20">
        <f>MEDIAN('converted2usd+IQR'!F21, 'converted2usd+IQR'!$O21, 'converted2usd+IQR'!$P21)</f>
        <v>87270.011975599904</v>
      </c>
      <c r="G21" s="20">
        <f>MEDIAN('converted2usd+IQR'!G21, 'converted2usd+IQR'!$O21, 'converted2usd+IQR'!$P21)</f>
        <v>80131.252305240647</v>
      </c>
      <c r="H21" s="20">
        <f>MEDIAN('converted2usd+IQR'!H21, 'converted2usd+IQR'!$O21, 'converted2usd+IQR'!$P21)</f>
        <v>55223.589984296879</v>
      </c>
      <c r="I21" s="20">
        <f>MEDIAN('converted2usd+IQR'!I21, 'converted2usd+IQR'!$O21, 'converted2usd+IQR'!$P21)</f>
        <v>206253.12000854808</v>
      </c>
      <c r="J21" s="20">
        <f>MEDIAN('converted2usd+IQR'!J21, 'converted2usd+IQR'!$O21, 'converted2usd+IQR'!$P21)</f>
        <v>187258.13233973243</v>
      </c>
      <c r="K21" s="20">
        <f>MEDIAN('converted2usd+IQR'!K21, 'converted2usd+IQR'!$O21, 'converted2usd+IQR'!$P21)</f>
        <v>203510.60342309313</v>
      </c>
    </row>
    <row r="22" spans="1:11">
      <c r="A22" s="7" t="s">
        <v>20</v>
      </c>
      <c r="B22" s="20">
        <f>MEDIAN('converted2usd+IQR'!B22, 'converted2usd+IQR'!$O22, 'converted2usd+IQR'!$P22)</f>
        <v>312058.41176277667</v>
      </c>
      <c r="C22" s="20">
        <f>MEDIAN('converted2usd+IQR'!C22, 'converted2usd+IQR'!$O22, 'converted2usd+IQR'!$P22)</f>
        <v>311132.08391742985</v>
      </c>
      <c r="D22" s="20">
        <f>MEDIAN('converted2usd+IQR'!D22, 'converted2usd+IQR'!$O22, 'converted2usd+IQR'!$P22)</f>
        <v>337318.35998702672</v>
      </c>
      <c r="E22" s="20">
        <f>MEDIAN('converted2usd+IQR'!E22, 'converted2usd+IQR'!$O22, 'converted2usd+IQR'!$P22)</f>
        <v>306236.4517547565</v>
      </c>
      <c r="F22" s="20">
        <f>MEDIAN('converted2usd+IQR'!F22, 'converted2usd+IQR'!$O22, 'converted2usd+IQR'!$P22)</f>
        <v>314952.16174379544</v>
      </c>
      <c r="G22" s="20">
        <f>MEDIAN('converted2usd+IQR'!G22, 'converted2usd+IQR'!$O22, 'converted2usd+IQR'!$P22)</f>
        <v>267514.45957839797</v>
      </c>
      <c r="H22" s="20">
        <f>MEDIAN('converted2usd+IQR'!H22, 'converted2usd+IQR'!$O22, 'converted2usd+IQR'!$P22)</f>
        <v>188139.6876962432</v>
      </c>
      <c r="I22" s="20">
        <f>MEDIAN('converted2usd+IQR'!I22, 'converted2usd+IQR'!$O22, 'converted2usd+IQR'!$P22)</f>
        <v>494203.04086721584</v>
      </c>
      <c r="J22" s="20">
        <f>MEDIAN('converted2usd+IQR'!J22, 'converted2usd+IQR'!$O22, 'converted2usd+IQR'!$P22)</f>
        <v>547266.49666974833</v>
      </c>
      <c r="K22" s="20">
        <f>MEDIAN('converted2usd+IQR'!K22, 'converted2usd+IQR'!$O22, 'converted2usd+IQR'!$P22)</f>
        <v>652416.39046048233</v>
      </c>
    </row>
    <row r="23" spans="1:11">
      <c r="A23" s="5" t="s">
        <v>21</v>
      </c>
      <c r="B23" s="20">
        <f>MEDIAN('converted2usd+IQR'!B23, 'converted2usd+IQR'!$O23, 'converted2usd+IQR'!$P23)</f>
        <v>1720.358618346138</v>
      </c>
      <c r="C23" s="20">
        <f>MEDIAN('converted2usd+IQR'!C23, 'converted2usd+IQR'!$O23, 'converted2usd+IQR'!$P23)</f>
        <v>1438.4621998947205</v>
      </c>
      <c r="D23" s="20">
        <f>MEDIAN('converted2usd+IQR'!D23, 'converted2usd+IQR'!$O23, 'converted2usd+IQR'!$P23)</f>
        <v>1304.3331831716491</v>
      </c>
      <c r="E23" s="20">
        <f>MEDIAN('converted2usd+IQR'!E23, 'converted2usd+IQR'!$O23, 'converted2usd+IQR'!$P23)</f>
        <v>945.82960747958953</v>
      </c>
      <c r="F23" s="20">
        <f>MEDIAN('converted2usd+IQR'!F23, 'converted2usd+IQR'!$O23, 'converted2usd+IQR'!$P23)</f>
        <v>859.71384700196916</v>
      </c>
      <c r="G23" s="20">
        <f>MEDIAN('converted2usd+IQR'!G23, 'converted2usd+IQR'!$O23, 'converted2usd+IQR'!$P23)</f>
        <v>649.99956077247771</v>
      </c>
      <c r="H23" s="20">
        <f>MEDIAN('converted2usd+IQR'!H23, 'converted2usd+IQR'!$O23, 'converted2usd+IQR'!$P23)</f>
        <v>3393.0080017894379</v>
      </c>
      <c r="I23" s="20">
        <f>MEDIAN('converted2usd+IQR'!I23, 'converted2usd+IQR'!$O23, 'converted2usd+IQR'!$P23)</f>
        <v>269.28677191691366</v>
      </c>
      <c r="J23" s="20">
        <f>MEDIAN('converted2usd+IQR'!J23, 'converted2usd+IQR'!$O23, 'converted2usd+IQR'!$P23)</f>
        <v>172.92370730292205</v>
      </c>
      <c r="K23" s="20">
        <f>MEDIAN('converted2usd+IQR'!K23, 'converted2usd+IQR'!$O23, 'converted2usd+IQR'!$P23)</f>
        <v>143.78622763513289</v>
      </c>
    </row>
    <row r="24" spans="1:11">
      <c r="A24" s="6" t="s">
        <v>22</v>
      </c>
      <c r="B24" s="20">
        <f>MEDIAN('converted2usd+IQR'!B24, 'converted2usd+IQR'!$O24, 'converted2usd+IQR'!$P24)</f>
        <v>0</v>
      </c>
      <c r="C24" s="20">
        <f>MEDIAN('converted2usd+IQR'!C24, 'converted2usd+IQR'!$O24, 'converted2usd+IQR'!$P24)</f>
        <v>0</v>
      </c>
      <c r="D24" s="20">
        <f>MEDIAN('converted2usd+IQR'!D24, 'converted2usd+IQR'!$O24, 'converted2usd+IQR'!$P24)</f>
        <v>0</v>
      </c>
      <c r="E24" s="20">
        <f>MEDIAN('converted2usd+IQR'!E24, 'converted2usd+IQR'!$O24, 'converted2usd+IQR'!$P24)</f>
        <v>0</v>
      </c>
      <c r="F24" s="20">
        <f>MEDIAN('converted2usd+IQR'!F24, 'converted2usd+IQR'!$O24, 'converted2usd+IQR'!$P24)</f>
        <v>0</v>
      </c>
      <c r="G24" s="20">
        <f>MEDIAN('converted2usd+IQR'!G24, 'converted2usd+IQR'!$O24, 'converted2usd+IQR'!$P24)</f>
        <v>0</v>
      </c>
      <c r="H24" s="20">
        <f>MEDIAN('converted2usd+IQR'!H24, 'converted2usd+IQR'!$O24, 'converted2usd+IQR'!$P24)</f>
        <v>0</v>
      </c>
      <c r="I24" s="20">
        <f>MEDIAN('converted2usd+IQR'!I24, 'converted2usd+IQR'!$O24, 'converted2usd+IQR'!$P24)</f>
        <v>0</v>
      </c>
      <c r="J24" s="20">
        <f>MEDIAN('converted2usd+IQR'!J24, 'converted2usd+IQR'!$O24, 'converted2usd+IQR'!$P24)</f>
        <v>0</v>
      </c>
      <c r="K24" s="20">
        <f>MEDIAN('converted2usd+IQR'!K24, 'converted2usd+IQR'!$O24, 'converted2usd+IQR'!$P24)</f>
        <v>0</v>
      </c>
    </row>
    <row r="25" spans="1:11">
      <c r="A25" s="5" t="s">
        <v>23</v>
      </c>
      <c r="B25" s="20">
        <f>MEDIAN('converted2usd+IQR'!B25, 'converted2usd+IQR'!$O25, 'converted2usd+IQR'!$P25)</f>
        <v>0</v>
      </c>
      <c r="C25" s="20">
        <f>MEDIAN('converted2usd+IQR'!C25, 'converted2usd+IQR'!$O25, 'converted2usd+IQR'!$P25)</f>
        <v>0</v>
      </c>
      <c r="D25" s="20">
        <f>MEDIAN('converted2usd+IQR'!D25, 'converted2usd+IQR'!$O25, 'converted2usd+IQR'!$P25)</f>
        <v>0</v>
      </c>
      <c r="E25" s="20">
        <f>MEDIAN('converted2usd+IQR'!E25, 'converted2usd+IQR'!$O25, 'converted2usd+IQR'!$P25)</f>
        <v>0</v>
      </c>
      <c r="F25" s="20">
        <f>MEDIAN('converted2usd+IQR'!F25, 'converted2usd+IQR'!$O25, 'converted2usd+IQR'!$P25)</f>
        <v>0</v>
      </c>
      <c r="G25" s="20">
        <f>MEDIAN('converted2usd+IQR'!G25, 'converted2usd+IQR'!$O25, 'converted2usd+IQR'!$P25)</f>
        <v>0</v>
      </c>
      <c r="H25" s="20">
        <f>MEDIAN('converted2usd+IQR'!H25, 'converted2usd+IQR'!$O25, 'converted2usd+IQR'!$P25)</f>
        <v>0</v>
      </c>
      <c r="I25" s="20">
        <f>MEDIAN('converted2usd+IQR'!I25, 'converted2usd+IQR'!$O25, 'converted2usd+IQR'!$P25)</f>
        <v>0</v>
      </c>
      <c r="J25" s="20">
        <f>MEDIAN('converted2usd+IQR'!J25, 'converted2usd+IQR'!$O25, 'converted2usd+IQR'!$P25)</f>
        <v>0</v>
      </c>
      <c r="K25" s="20">
        <f>MEDIAN('converted2usd+IQR'!K25, 'converted2usd+IQR'!$O25, 'converted2usd+IQR'!$P25)</f>
        <v>0</v>
      </c>
    </row>
    <row r="26" spans="1:11">
      <c r="A26" s="6" t="s">
        <v>24</v>
      </c>
      <c r="B26" s="20">
        <f>MEDIAN('converted2usd+IQR'!B26, 'converted2usd+IQR'!$O26, 'converted2usd+IQR'!$P26)</f>
        <v>0</v>
      </c>
      <c r="C26" s="20">
        <f>MEDIAN('converted2usd+IQR'!C26, 'converted2usd+IQR'!$O26, 'converted2usd+IQR'!$P26)</f>
        <v>0</v>
      </c>
      <c r="D26" s="20">
        <f>MEDIAN('converted2usd+IQR'!D26, 'converted2usd+IQR'!$O26, 'converted2usd+IQR'!$P26)</f>
        <v>0</v>
      </c>
      <c r="E26" s="20">
        <f>MEDIAN('converted2usd+IQR'!E26, 'converted2usd+IQR'!$O26, 'converted2usd+IQR'!$P26)</f>
        <v>0</v>
      </c>
      <c r="F26" s="20">
        <f>MEDIAN('converted2usd+IQR'!F26, 'converted2usd+IQR'!$O26, 'converted2usd+IQR'!$P26)</f>
        <v>0</v>
      </c>
      <c r="G26" s="20">
        <f>MEDIAN('converted2usd+IQR'!G26, 'converted2usd+IQR'!$O26, 'converted2usd+IQR'!$P26)</f>
        <v>0</v>
      </c>
      <c r="H26" s="20">
        <f>MEDIAN('converted2usd+IQR'!H26, 'converted2usd+IQR'!$O26, 'converted2usd+IQR'!$P26)</f>
        <v>0</v>
      </c>
      <c r="I26" s="20">
        <f>MEDIAN('converted2usd+IQR'!I26, 'converted2usd+IQR'!$O26, 'converted2usd+IQR'!$P26)</f>
        <v>0</v>
      </c>
      <c r="J26" s="20">
        <f>MEDIAN('converted2usd+IQR'!J26, 'converted2usd+IQR'!$O26, 'converted2usd+IQR'!$P26)</f>
        <v>0</v>
      </c>
      <c r="K26" s="20">
        <f>MEDIAN('converted2usd+IQR'!K26, 'converted2usd+IQR'!$O26, 'converted2usd+IQR'!$P26)</f>
        <v>0</v>
      </c>
    </row>
    <row r="27" spans="1:11">
      <c r="A27" s="5" t="s">
        <v>25</v>
      </c>
      <c r="B27" s="20">
        <f>MEDIAN('converted2usd+IQR'!B27, 'converted2usd+IQR'!$O27, 'converted2usd+IQR'!$P27)</f>
        <v>0</v>
      </c>
      <c r="C27" s="20">
        <f>MEDIAN('converted2usd+IQR'!C27, 'converted2usd+IQR'!$O27, 'converted2usd+IQR'!$P27)</f>
        <v>0</v>
      </c>
      <c r="D27" s="20">
        <f>MEDIAN('converted2usd+IQR'!D27, 'converted2usd+IQR'!$O27, 'converted2usd+IQR'!$P27)</f>
        <v>0</v>
      </c>
      <c r="E27" s="20">
        <f>MEDIAN('converted2usd+IQR'!E27, 'converted2usd+IQR'!$O27, 'converted2usd+IQR'!$P27)</f>
        <v>0</v>
      </c>
      <c r="F27" s="20">
        <f>MEDIAN('converted2usd+IQR'!F27, 'converted2usd+IQR'!$O27, 'converted2usd+IQR'!$P27)</f>
        <v>0</v>
      </c>
      <c r="G27" s="20">
        <f>MEDIAN('converted2usd+IQR'!G27, 'converted2usd+IQR'!$O27, 'converted2usd+IQR'!$P27)</f>
        <v>0</v>
      </c>
      <c r="H27" s="20">
        <f>MEDIAN('converted2usd+IQR'!H27, 'converted2usd+IQR'!$O27, 'converted2usd+IQR'!$P27)</f>
        <v>0</v>
      </c>
      <c r="I27" s="20">
        <f>MEDIAN('converted2usd+IQR'!I27, 'converted2usd+IQR'!$O27, 'converted2usd+IQR'!$P27)</f>
        <v>0</v>
      </c>
      <c r="J27" s="20">
        <f>MEDIAN('converted2usd+IQR'!J27, 'converted2usd+IQR'!$O27, 'converted2usd+IQR'!$P27)</f>
        <v>0</v>
      </c>
      <c r="K27" s="20">
        <f>MEDIAN('converted2usd+IQR'!K27, 'converted2usd+IQR'!$O27, 'converted2usd+IQR'!$P27)</f>
        <v>0</v>
      </c>
    </row>
    <row r="28" spans="1:11">
      <c r="A28" s="6" t="s">
        <v>26</v>
      </c>
      <c r="B28" s="20">
        <f>MEDIAN('converted2usd+IQR'!B28, 'converted2usd+IQR'!$O28, 'converted2usd+IQR'!$P28)</f>
        <v>0</v>
      </c>
      <c r="C28" s="20">
        <f>MEDIAN('converted2usd+IQR'!C28, 'converted2usd+IQR'!$O28, 'converted2usd+IQR'!$P28)</f>
        <v>0</v>
      </c>
      <c r="D28" s="20">
        <f>MEDIAN('converted2usd+IQR'!D28, 'converted2usd+IQR'!$O28, 'converted2usd+IQR'!$P28)</f>
        <v>0</v>
      </c>
      <c r="E28" s="20">
        <f>MEDIAN('converted2usd+IQR'!E28, 'converted2usd+IQR'!$O28, 'converted2usd+IQR'!$P28)</f>
        <v>0</v>
      </c>
      <c r="F28" s="20">
        <f>MEDIAN('converted2usd+IQR'!F28, 'converted2usd+IQR'!$O28, 'converted2usd+IQR'!$P28)</f>
        <v>0</v>
      </c>
      <c r="G28" s="20">
        <f>MEDIAN('converted2usd+IQR'!G28, 'converted2usd+IQR'!$O28, 'converted2usd+IQR'!$P28)</f>
        <v>0</v>
      </c>
      <c r="H28" s="20">
        <f>MEDIAN('converted2usd+IQR'!H28, 'converted2usd+IQR'!$O28, 'converted2usd+IQR'!$P28)</f>
        <v>0</v>
      </c>
      <c r="I28" s="20">
        <f>MEDIAN('converted2usd+IQR'!I28, 'converted2usd+IQR'!$O28, 'converted2usd+IQR'!$P28)</f>
        <v>0</v>
      </c>
      <c r="J28" s="20">
        <f>MEDIAN('converted2usd+IQR'!J28, 'converted2usd+IQR'!$O28, 'converted2usd+IQR'!$P28)</f>
        <v>0</v>
      </c>
      <c r="K28" s="20">
        <f>MEDIAN('converted2usd+IQR'!K28, 'converted2usd+IQR'!$O28, 'converted2usd+IQR'!$P28)</f>
        <v>0</v>
      </c>
    </row>
    <row r="29" spans="1:11">
      <c r="A29" s="5" t="s">
        <v>27</v>
      </c>
      <c r="B29" s="20">
        <f>MEDIAN('converted2usd+IQR'!B29, 'converted2usd+IQR'!$O29, 'converted2usd+IQR'!$P29)</f>
        <v>0</v>
      </c>
      <c r="C29" s="20">
        <f>MEDIAN('converted2usd+IQR'!C29, 'converted2usd+IQR'!$O29, 'converted2usd+IQR'!$P29)</f>
        <v>0</v>
      </c>
      <c r="D29" s="20">
        <f>MEDIAN('converted2usd+IQR'!D29, 'converted2usd+IQR'!$O29, 'converted2usd+IQR'!$P29)</f>
        <v>0</v>
      </c>
      <c r="E29" s="20">
        <f>MEDIAN('converted2usd+IQR'!E29, 'converted2usd+IQR'!$O29, 'converted2usd+IQR'!$P29)</f>
        <v>0</v>
      </c>
      <c r="F29" s="20">
        <f>MEDIAN('converted2usd+IQR'!F29, 'converted2usd+IQR'!$O29, 'converted2usd+IQR'!$P29)</f>
        <v>0</v>
      </c>
      <c r="G29" s="20">
        <f>MEDIAN('converted2usd+IQR'!G29, 'converted2usd+IQR'!$O29, 'converted2usd+IQR'!$P29)</f>
        <v>0</v>
      </c>
      <c r="H29" s="20">
        <f>MEDIAN('converted2usd+IQR'!H29, 'converted2usd+IQR'!$O29, 'converted2usd+IQR'!$P29)</f>
        <v>0</v>
      </c>
      <c r="I29" s="20">
        <f>MEDIAN('converted2usd+IQR'!I29, 'converted2usd+IQR'!$O29, 'converted2usd+IQR'!$P29)</f>
        <v>0</v>
      </c>
      <c r="J29" s="20">
        <f>MEDIAN('converted2usd+IQR'!J29, 'converted2usd+IQR'!$O29, 'converted2usd+IQR'!$P29)</f>
        <v>0</v>
      </c>
      <c r="K29" s="20">
        <f>MEDIAN('converted2usd+IQR'!K29, 'converted2usd+IQR'!$O29, 'converted2usd+IQR'!$P29)</f>
        <v>0</v>
      </c>
    </row>
    <row r="30" spans="1:11">
      <c r="A30" s="6" t="s">
        <v>28</v>
      </c>
      <c r="B30" s="20">
        <f>MEDIAN('converted2usd+IQR'!B30, 'converted2usd+IQR'!$O30, 'converted2usd+IQR'!$P30)</f>
        <v>401.62382780596215</v>
      </c>
      <c r="C30" s="20">
        <f>MEDIAN('converted2usd+IQR'!C30, 'converted2usd+IQR'!$O30, 'converted2usd+IQR'!$P30)</f>
        <v>3892.4993095038026</v>
      </c>
      <c r="D30" s="20">
        <f>MEDIAN('converted2usd+IQR'!D30, 'converted2usd+IQR'!$O30, 'converted2usd+IQR'!$P30)</f>
        <v>3648.2385912194663</v>
      </c>
      <c r="E30" s="20">
        <f>MEDIAN('converted2usd+IQR'!E30, 'converted2usd+IQR'!$O30, 'converted2usd+IQR'!$P30)</f>
        <v>7484.4537039862435</v>
      </c>
      <c r="F30" s="20">
        <f>MEDIAN('converted2usd+IQR'!F30, 'converted2usd+IQR'!$O30, 'converted2usd+IQR'!$P30)</f>
        <v>6944.6014803648113</v>
      </c>
      <c r="G30" s="20">
        <f>MEDIAN('converted2usd+IQR'!G30, 'converted2usd+IQR'!$O30, 'converted2usd+IQR'!$P30)</f>
        <v>5345.6635629798802</v>
      </c>
      <c r="H30" s="20">
        <f>MEDIAN('converted2usd+IQR'!H30, 'converted2usd+IQR'!$O30, 'converted2usd+IQR'!$P30)</f>
        <v>3413.6911588228686</v>
      </c>
      <c r="I30" s="20">
        <f>MEDIAN('converted2usd+IQR'!I30, 'converted2usd+IQR'!$O30, 'converted2usd+IQR'!$P30)</f>
        <v>28516.776431398968</v>
      </c>
      <c r="J30" s="20">
        <f>MEDIAN('converted2usd+IQR'!J30, 'converted2usd+IQR'!$O30, 'converted2usd+IQR'!$P30)</f>
        <v>26118.798694874084</v>
      </c>
      <c r="K30" s="20">
        <f>MEDIAN('converted2usd+IQR'!K30, 'converted2usd+IQR'!$O30, 'converted2usd+IQR'!$P30)</f>
        <v>29388.326602933728</v>
      </c>
    </row>
    <row r="31" spans="1:11">
      <c r="A31" s="5" t="s">
        <v>29</v>
      </c>
      <c r="B31" s="20">
        <f>MEDIAN('converted2usd+IQR'!B31, 'converted2usd+IQR'!$O31, 'converted2usd+IQR'!$P31)</f>
        <v>0</v>
      </c>
      <c r="C31" s="20">
        <f>MEDIAN('converted2usd+IQR'!C31, 'converted2usd+IQR'!$O31, 'converted2usd+IQR'!$P31)</f>
        <v>2515.9380846417816</v>
      </c>
      <c r="D31" s="20">
        <f>MEDIAN('converted2usd+IQR'!D31, 'converted2usd+IQR'!$O31, 'converted2usd+IQR'!$P31)</f>
        <v>2970.5358667752162</v>
      </c>
      <c r="E31" s="20">
        <f>MEDIAN('converted2usd+IQR'!E31, 'converted2usd+IQR'!$O31, 'converted2usd+IQR'!$P31)</f>
        <v>3559.5746872885484</v>
      </c>
      <c r="F31" s="20">
        <f>MEDIAN('converted2usd+IQR'!F31, 'converted2usd+IQR'!$O31, 'converted2usd+IQR'!$P31)</f>
        <v>4496.0460429906716</v>
      </c>
      <c r="G31" s="20">
        <f>MEDIAN('converted2usd+IQR'!G31, 'converted2usd+IQR'!$O31, 'converted2usd+IQR'!$P31)</f>
        <v>4182.3712260923694</v>
      </c>
      <c r="H31" s="20">
        <f>MEDIAN('converted2usd+IQR'!H31, 'converted2usd+IQR'!$O31, 'converted2usd+IQR'!$P31)</f>
        <v>2917.2465301903621</v>
      </c>
      <c r="I31" s="20">
        <f>MEDIAN('converted2usd+IQR'!I31, 'converted2usd+IQR'!$O31, 'converted2usd+IQR'!$P31)</f>
        <v>19892.483551143538</v>
      </c>
      <c r="J31" s="20">
        <f>MEDIAN('converted2usd+IQR'!J31, 'converted2usd+IQR'!$O31, 'converted2usd+IQR'!$P31)</f>
        <v>20211.415481682659</v>
      </c>
      <c r="K31" s="20">
        <f>MEDIAN('converted2usd+IQR'!K31, 'converted2usd+IQR'!$O31, 'converted2usd+IQR'!$P31)</f>
        <v>22746.077906808932</v>
      </c>
    </row>
    <row r="32" spans="1:11">
      <c r="A32" s="7" t="s">
        <v>30</v>
      </c>
      <c r="B32" s="20">
        <f>MEDIAN('converted2usd+IQR'!B32, 'converted2usd+IQR'!$O32, 'converted2usd+IQR'!$P32)</f>
        <v>2121.9824461521002</v>
      </c>
      <c r="C32" s="20">
        <f>MEDIAN('converted2usd+IQR'!C32, 'converted2usd+IQR'!$O32, 'converted2usd+IQR'!$P32)</f>
        <v>2815.023424756741</v>
      </c>
      <c r="D32" s="20">
        <f>MEDIAN('converted2usd+IQR'!D32, 'converted2usd+IQR'!$O32, 'converted2usd+IQR'!$P32)</f>
        <v>1982.0359076158995</v>
      </c>
      <c r="E32" s="20">
        <f>MEDIAN('converted2usd+IQR'!E32, 'converted2usd+IQR'!$O32, 'converted2usd+IQR'!$P32)</f>
        <v>4870.708624177284</v>
      </c>
      <c r="F32" s="20">
        <f>MEDIAN('converted2usd+IQR'!F32, 'converted2usd+IQR'!$O32, 'converted2usd+IQR'!$P32)</f>
        <v>3308.2692843761088</v>
      </c>
      <c r="G32" s="20">
        <f>MEDIAN('converted2usd+IQR'!G32, 'converted2usd+IQR'!$O32, 'converted2usd+IQR'!$P32)</f>
        <v>1813.2918976599876</v>
      </c>
      <c r="H32" s="20">
        <f>MEDIAN('converted2usd+IQR'!H32, 'converted2usd+IQR'!$O32, 'converted2usd+IQR'!$P32)</f>
        <v>3889.4526304219439</v>
      </c>
      <c r="I32" s="20">
        <f>MEDIAN('converted2usd+IQR'!I32, 'converted2usd+IQR'!$O32, 'converted2usd+IQR'!$P32)</f>
        <v>8893.5796521723478</v>
      </c>
      <c r="J32" s="20">
        <f>MEDIAN('converted2usd+IQR'!J32, 'converted2usd+IQR'!$O32, 'converted2usd+IQR'!$P32)</f>
        <v>6080.3069204943486</v>
      </c>
      <c r="K32" s="20">
        <f>MEDIAN('converted2usd+IQR'!K32, 'converted2usd+IQR'!$O32, 'converted2usd+IQR'!$P32)</f>
        <v>6786.0349237599266</v>
      </c>
    </row>
    <row r="33" spans="1:11">
      <c r="A33" s="5" t="s">
        <v>31</v>
      </c>
      <c r="B33" s="20">
        <f>MEDIAN('converted2usd+IQR'!B33, 'converted2usd+IQR'!$O33, 'converted2usd+IQR'!$P33)</f>
        <v>255.11282274458802</v>
      </c>
      <c r="C33" s="20">
        <f>MEDIAN('converted2usd+IQR'!C33, 'converted2usd+IQR'!$O33, 'converted2usd+IQR'!$P33)</f>
        <v>280.66621154717825</v>
      </c>
      <c r="D33" s="20">
        <f>MEDIAN('converted2usd+IQR'!D33, 'converted2usd+IQR'!$O33, 'converted2usd+IQR'!$P33)</f>
        <v>2581.9665527252851</v>
      </c>
      <c r="E33" s="20">
        <f>MEDIAN('converted2usd+IQR'!E33, 'converted2usd+IQR'!$O33, 'converted2usd+IQR'!$P33)</f>
        <v>2085.9863805163163</v>
      </c>
      <c r="F33" s="20">
        <f>MEDIAN('converted2usd+IQR'!F33, 'converted2usd+IQR'!$O33, 'converted2usd+IQR'!$P33)</f>
        <v>3071.3204461962141</v>
      </c>
      <c r="G33" s="20">
        <f>MEDIAN('converted2usd+IQR'!G33, 'converted2usd+IQR'!$O33, 'converted2usd+IQR'!$P33)</f>
        <v>1974.5357111684871</v>
      </c>
      <c r="H33" s="20">
        <f>MEDIAN('converted2usd+IQR'!H33, 'converted2usd+IQR'!$O33, 'converted2usd+IQR'!$P33)</f>
        <v>3038.3382644170533</v>
      </c>
      <c r="I33" s="20">
        <f>MEDIAN('converted2usd+IQR'!I33, 'converted2usd+IQR'!$O33, 'converted2usd+IQR'!$P33)</f>
        <v>4076.5281272583511</v>
      </c>
      <c r="J33" s="20">
        <f>MEDIAN('converted2usd+IQR'!J33, 'converted2usd+IQR'!$O33, 'converted2usd+IQR'!$P33)</f>
        <v>9293.7096924549351</v>
      </c>
      <c r="K33" s="20">
        <f>MEDIAN('converted2usd+IQR'!K33, 'converted2usd+IQR'!$O33, 'converted2usd+IQR'!$P33)</f>
        <v>9293.7096924549351</v>
      </c>
    </row>
    <row r="34" spans="1:11">
      <c r="A34" s="6" t="s">
        <v>32</v>
      </c>
      <c r="B34" s="20">
        <f>MEDIAN('converted2usd+IQR'!B34, 'converted2usd+IQR'!$O34, 'converted2usd+IQR'!$P34)</f>
        <v>0</v>
      </c>
      <c r="C34" s="20">
        <f>MEDIAN('converted2usd+IQR'!C34, 'converted2usd+IQR'!$O34, 'converted2usd+IQR'!$P34)</f>
        <v>0</v>
      </c>
      <c r="D34" s="20">
        <f>MEDIAN('converted2usd+IQR'!D34, 'converted2usd+IQR'!$O34, 'converted2usd+IQR'!$P34)</f>
        <v>0</v>
      </c>
      <c r="E34" s="20">
        <f>MEDIAN('converted2usd+IQR'!E34, 'converted2usd+IQR'!$O34, 'converted2usd+IQR'!$P34)</f>
        <v>0</v>
      </c>
      <c r="F34" s="20">
        <f>MEDIAN('converted2usd+IQR'!F34, 'converted2usd+IQR'!$O34, 'converted2usd+IQR'!$P34)</f>
        <v>0</v>
      </c>
      <c r="G34" s="20">
        <f>MEDIAN('converted2usd+IQR'!G34, 'converted2usd+IQR'!$O34, 'converted2usd+IQR'!$P34)</f>
        <v>0</v>
      </c>
      <c r="H34" s="20">
        <f>MEDIAN('converted2usd+IQR'!H34, 'converted2usd+IQR'!$O34, 'converted2usd+IQR'!$P34)</f>
        <v>0</v>
      </c>
      <c r="I34" s="20">
        <f>MEDIAN('converted2usd+IQR'!I34, 'converted2usd+IQR'!$O34, 'converted2usd+IQR'!$P34)</f>
        <v>0</v>
      </c>
      <c r="J34" s="20">
        <f>MEDIAN('converted2usd+IQR'!J34, 'converted2usd+IQR'!$O34, 'converted2usd+IQR'!$P34)</f>
        <v>0</v>
      </c>
      <c r="K34" s="20">
        <f>MEDIAN('converted2usd+IQR'!K34, 'converted2usd+IQR'!$O34, 'converted2usd+IQR'!$P34)</f>
        <v>0</v>
      </c>
    </row>
    <row r="35" spans="1:11">
      <c r="A35" s="5" t="s">
        <v>33</v>
      </c>
      <c r="B35" s="20">
        <f>MEDIAN('converted2usd+IQR'!B35, 'converted2usd+IQR'!$O35, 'converted2usd+IQR'!$P35)</f>
        <v>0</v>
      </c>
      <c r="C35" s="20">
        <f>MEDIAN('converted2usd+IQR'!C35, 'converted2usd+IQR'!$O35, 'converted2usd+IQR'!$P35)</f>
        <v>0</v>
      </c>
      <c r="D35" s="20">
        <f>MEDIAN('converted2usd+IQR'!D35, 'converted2usd+IQR'!$O35, 'converted2usd+IQR'!$P35)</f>
        <v>0</v>
      </c>
      <c r="E35" s="20">
        <f>MEDIAN('converted2usd+IQR'!E35, 'converted2usd+IQR'!$O35, 'converted2usd+IQR'!$P35)</f>
        <v>0</v>
      </c>
      <c r="F35" s="20">
        <f>MEDIAN('converted2usd+IQR'!F35, 'converted2usd+IQR'!$O35, 'converted2usd+IQR'!$P35)</f>
        <v>0</v>
      </c>
      <c r="G35" s="20">
        <f>MEDIAN('converted2usd+IQR'!G35, 'converted2usd+IQR'!$O35, 'converted2usd+IQR'!$P35)</f>
        <v>0</v>
      </c>
      <c r="H35" s="20">
        <f>MEDIAN('converted2usd+IQR'!H35, 'converted2usd+IQR'!$O35, 'converted2usd+IQR'!$P35)</f>
        <v>0</v>
      </c>
      <c r="I35" s="20">
        <f>MEDIAN('converted2usd+IQR'!I35, 'converted2usd+IQR'!$O35, 'converted2usd+IQR'!$P35)</f>
        <v>0</v>
      </c>
      <c r="J35" s="20">
        <f>MEDIAN('converted2usd+IQR'!J35, 'converted2usd+IQR'!$O35, 'converted2usd+IQR'!$P35)</f>
        <v>0</v>
      </c>
      <c r="K35" s="20">
        <f>MEDIAN('converted2usd+IQR'!K35, 'converted2usd+IQR'!$O35, 'converted2usd+IQR'!$P35)</f>
        <v>0</v>
      </c>
    </row>
    <row r="36" spans="1:11">
      <c r="A36" s="6" t="s">
        <v>34</v>
      </c>
      <c r="B36" s="20">
        <f>MEDIAN('converted2usd+IQR'!B36, 'converted2usd+IQR'!$O36, 'converted2usd+IQR'!$P36)</f>
        <v>0</v>
      </c>
      <c r="C36" s="20">
        <f>MEDIAN('converted2usd+IQR'!C36, 'converted2usd+IQR'!$O36, 'converted2usd+IQR'!$P36)</f>
        <v>0</v>
      </c>
      <c r="D36" s="20">
        <f>MEDIAN('converted2usd+IQR'!D36, 'converted2usd+IQR'!$O36, 'converted2usd+IQR'!$P36)</f>
        <v>0</v>
      </c>
      <c r="E36" s="20">
        <f>MEDIAN('converted2usd+IQR'!E36, 'converted2usd+IQR'!$O36, 'converted2usd+IQR'!$P36)</f>
        <v>0</v>
      </c>
      <c r="F36" s="20">
        <f>MEDIAN('converted2usd+IQR'!F36, 'converted2usd+IQR'!$O36, 'converted2usd+IQR'!$P36)</f>
        <v>0</v>
      </c>
      <c r="G36" s="20">
        <f>MEDIAN('converted2usd+IQR'!G36, 'converted2usd+IQR'!$O36, 'converted2usd+IQR'!$P36)</f>
        <v>0</v>
      </c>
      <c r="H36" s="20">
        <f>MEDIAN('converted2usd+IQR'!H36, 'converted2usd+IQR'!$O36, 'converted2usd+IQR'!$P36)</f>
        <v>0</v>
      </c>
      <c r="I36" s="20">
        <f>MEDIAN('converted2usd+IQR'!I36, 'converted2usd+IQR'!$O36, 'converted2usd+IQR'!$P36)</f>
        <v>0</v>
      </c>
      <c r="J36" s="20">
        <f>MEDIAN('converted2usd+IQR'!J36, 'converted2usd+IQR'!$O36, 'converted2usd+IQR'!$P36)</f>
        <v>0</v>
      </c>
      <c r="K36" s="20">
        <f>MEDIAN('converted2usd+IQR'!K36, 'converted2usd+IQR'!$O36, 'converted2usd+IQR'!$P36)</f>
        <v>0</v>
      </c>
    </row>
    <row r="37" spans="1:11">
      <c r="A37" s="5" t="s">
        <v>35</v>
      </c>
      <c r="B37" s="20">
        <f>MEDIAN('converted2usd+IQR'!B37, 'converted2usd+IQR'!$O37, 'converted2usd+IQR'!$P37)</f>
        <v>1350.5834441192055</v>
      </c>
      <c r="C37" s="20">
        <f>MEDIAN('converted2usd+IQR'!C37, 'converted2usd+IQR'!$O37, 'converted2usd+IQR'!$P37)</f>
        <v>4051.7503323576166</v>
      </c>
      <c r="D37" s="20">
        <f>MEDIAN('converted2usd+IQR'!D37, 'converted2usd+IQR'!$O37, 'converted2usd+IQR'!$P37)</f>
        <v>0</v>
      </c>
      <c r="E37" s="20">
        <f>MEDIAN('converted2usd+IQR'!E37, 'converted2usd+IQR'!$O37, 'converted2usd+IQR'!$P37)</f>
        <v>0</v>
      </c>
      <c r="F37" s="20">
        <f>MEDIAN('converted2usd+IQR'!F37, 'converted2usd+IQR'!$O37, 'converted2usd+IQR'!$P37)</f>
        <v>0</v>
      </c>
      <c r="G37" s="20">
        <f>MEDIAN('converted2usd+IQR'!G37, 'converted2usd+IQR'!$O37, 'converted2usd+IQR'!$P37)</f>
        <v>0</v>
      </c>
      <c r="H37" s="20">
        <f>MEDIAN('converted2usd+IQR'!H37, 'converted2usd+IQR'!$O37, 'converted2usd+IQR'!$P37)</f>
        <v>0</v>
      </c>
      <c r="I37" s="20">
        <f>MEDIAN('converted2usd+IQR'!I37, 'converted2usd+IQR'!$O37, 'converted2usd+IQR'!$P37)</f>
        <v>2560.7525609535355</v>
      </c>
      <c r="J37" s="20">
        <f>MEDIAN('converted2usd+IQR'!J37, 'converted2usd+IQR'!$O37, 'converted2usd+IQR'!$P37)</f>
        <v>0</v>
      </c>
      <c r="K37" s="20">
        <f>MEDIAN('converted2usd+IQR'!K37, 'converted2usd+IQR'!$O37, 'converted2usd+IQR'!$P37)</f>
        <v>0</v>
      </c>
    </row>
    <row r="38" spans="1:11">
      <c r="A38" s="6" t="s">
        <v>36</v>
      </c>
      <c r="B38" s="20">
        <f>MEDIAN('converted2usd+IQR'!B38, 'converted2usd+IQR'!$O38, 'converted2usd+IQR'!$P38)</f>
        <v>0</v>
      </c>
      <c r="C38" s="20">
        <f>MEDIAN('converted2usd+IQR'!C38, 'converted2usd+IQR'!$O38, 'converted2usd+IQR'!$P38)</f>
        <v>0</v>
      </c>
      <c r="D38" s="20">
        <f>MEDIAN('converted2usd+IQR'!D38, 'converted2usd+IQR'!$O38, 'converted2usd+IQR'!$P38)</f>
        <v>0</v>
      </c>
      <c r="E38" s="20">
        <f>MEDIAN('converted2usd+IQR'!E38, 'converted2usd+IQR'!$O38, 'converted2usd+IQR'!$P38)</f>
        <v>0</v>
      </c>
      <c r="F38" s="20">
        <f>MEDIAN('converted2usd+IQR'!F38, 'converted2usd+IQR'!$O38, 'converted2usd+IQR'!$P38)</f>
        <v>0</v>
      </c>
      <c r="G38" s="20">
        <f>MEDIAN('converted2usd+IQR'!G38, 'converted2usd+IQR'!$O38, 'converted2usd+IQR'!$P38)</f>
        <v>0</v>
      </c>
      <c r="H38" s="20">
        <f>MEDIAN('converted2usd+IQR'!H38, 'converted2usd+IQR'!$O38, 'converted2usd+IQR'!$P38)</f>
        <v>0</v>
      </c>
      <c r="I38" s="20">
        <f>MEDIAN('converted2usd+IQR'!I38, 'converted2usd+IQR'!$O38, 'converted2usd+IQR'!$P38)</f>
        <v>0</v>
      </c>
      <c r="J38" s="20">
        <f>MEDIAN('converted2usd+IQR'!J38, 'converted2usd+IQR'!$O38, 'converted2usd+IQR'!$P38)</f>
        <v>0</v>
      </c>
      <c r="K38" s="20">
        <f>MEDIAN('converted2usd+IQR'!K38, 'converted2usd+IQR'!$O38, 'converted2usd+IQR'!$P38)</f>
        <v>0</v>
      </c>
    </row>
    <row r="39" spans="1:11">
      <c r="A39" s="5" t="s">
        <v>37</v>
      </c>
      <c r="B39" s="20">
        <f>MEDIAN('converted2usd+IQR'!B39, 'converted2usd+IQR'!$O39, 'converted2usd+IQR'!$P39)</f>
        <v>0</v>
      </c>
      <c r="C39" s="20">
        <f>MEDIAN('converted2usd+IQR'!C39, 'converted2usd+IQR'!$O39, 'converted2usd+IQR'!$P39)</f>
        <v>0</v>
      </c>
      <c r="D39" s="20">
        <f>MEDIAN('converted2usd+IQR'!D39, 'converted2usd+IQR'!$O39, 'converted2usd+IQR'!$P39)</f>
        <v>0</v>
      </c>
      <c r="E39" s="20">
        <f>MEDIAN('converted2usd+IQR'!E39, 'converted2usd+IQR'!$O39, 'converted2usd+IQR'!$P39)</f>
        <v>0</v>
      </c>
      <c r="F39" s="20">
        <f>MEDIAN('converted2usd+IQR'!F39, 'converted2usd+IQR'!$O39, 'converted2usd+IQR'!$P39)</f>
        <v>0</v>
      </c>
      <c r="G39" s="20">
        <f>MEDIAN('converted2usd+IQR'!G39, 'converted2usd+IQR'!$O39, 'converted2usd+IQR'!$P39)</f>
        <v>0</v>
      </c>
      <c r="H39" s="20">
        <f>MEDIAN('converted2usd+IQR'!H39, 'converted2usd+IQR'!$O39, 'converted2usd+IQR'!$P39)</f>
        <v>0</v>
      </c>
      <c r="I39" s="20">
        <f>MEDIAN('converted2usd+IQR'!I39, 'converted2usd+IQR'!$O39, 'converted2usd+IQR'!$P39)</f>
        <v>0</v>
      </c>
      <c r="J39" s="20">
        <f>MEDIAN('converted2usd+IQR'!J39, 'converted2usd+IQR'!$O39, 'converted2usd+IQR'!$P39)</f>
        <v>0</v>
      </c>
      <c r="K39" s="20">
        <f>MEDIAN('converted2usd+IQR'!K39, 'converted2usd+IQR'!$O39, 'converted2usd+IQR'!$P39)</f>
        <v>0</v>
      </c>
    </row>
    <row r="40" spans="1:11">
      <c r="A40" s="6" t="s">
        <v>38</v>
      </c>
      <c r="B40" s="20">
        <f>MEDIAN('converted2usd+IQR'!B40, 'converted2usd+IQR'!$O40, 'converted2usd+IQR'!$P40)</f>
        <v>0</v>
      </c>
      <c r="C40" s="20">
        <f>MEDIAN('converted2usd+IQR'!C40, 'converted2usd+IQR'!$O40, 'converted2usd+IQR'!$P40)</f>
        <v>0</v>
      </c>
      <c r="D40" s="20">
        <f>MEDIAN('converted2usd+IQR'!D40, 'converted2usd+IQR'!$O40, 'converted2usd+IQR'!$P40)</f>
        <v>0</v>
      </c>
      <c r="E40" s="20">
        <f>MEDIAN('converted2usd+IQR'!E40, 'converted2usd+IQR'!$O40, 'converted2usd+IQR'!$P40)</f>
        <v>0</v>
      </c>
      <c r="F40" s="20">
        <f>MEDIAN('converted2usd+IQR'!F40, 'converted2usd+IQR'!$O40, 'converted2usd+IQR'!$P40)</f>
        <v>0</v>
      </c>
      <c r="G40" s="20">
        <f>MEDIAN('converted2usd+IQR'!G40, 'converted2usd+IQR'!$O40, 'converted2usd+IQR'!$P40)</f>
        <v>0</v>
      </c>
      <c r="H40" s="20">
        <f>MEDIAN('converted2usd+IQR'!H40, 'converted2usd+IQR'!$O40, 'converted2usd+IQR'!$P40)</f>
        <v>0</v>
      </c>
      <c r="I40" s="20">
        <f>MEDIAN('converted2usd+IQR'!I40, 'converted2usd+IQR'!$O40, 'converted2usd+IQR'!$P40)</f>
        <v>0</v>
      </c>
      <c r="J40" s="20">
        <f>MEDIAN('converted2usd+IQR'!J40, 'converted2usd+IQR'!$O40, 'converted2usd+IQR'!$P40)</f>
        <v>0</v>
      </c>
      <c r="K40" s="20">
        <f>MEDIAN('converted2usd+IQR'!K40, 'converted2usd+IQR'!$O40, 'converted2usd+IQR'!$P40)</f>
        <v>0</v>
      </c>
    </row>
    <row r="41" spans="1:11">
      <c r="A41" s="5" t="s">
        <v>39</v>
      </c>
      <c r="B41" s="20">
        <f>MEDIAN('converted2usd+IQR'!B41, 'converted2usd+IQR'!$O41, 'converted2usd+IQR'!$P41)</f>
        <v>0</v>
      </c>
      <c r="C41" s="20">
        <f>MEDIAN('converted2usd+IQR'!C41, 'converted2usd+IQR'!$O41, 'converted2usd+IQR'!$P41)</f>
        <v>0</v>
      </c>
      <c r="D41" s="20">
        <f>MEDIAN('converted2usd+IQR'!D41, 'converted2usd+IQR'!$O41, 'converted2usd+IQR'!$P41)</f>
        <v>0</v>
      </c>
      <c r="E41" s="20">
        <f>MEDIAN('converted2usd+IQR'!E41, 'converted2usd+IQR'!$O41, 'converted2usd+IQR'!$P41)</f>
        <v>0</v>
      </c>
      <c r="F41" s="20">
        <f>MEDIAN('converted2usd+IQR'!F41, 'converted2usd+IQR'!$O41, 'converted2usd+IQR'!$P41)</f>
        <v>0</v>
      </c>
      <c r="G41" s="20">
        <f>MEDIAN('converted2usd+IQR'!G41, 'converted2usd+IQR'!$O41, 'converted2usd+IQR'!$P41)</f>
        <v>0</v>
      </c>
      <c r="H41" s="20">
        <f>MEDIAN('converted2usd+IQR'!H41, 'converted2usd+IQR'!$O41, 'converted2usd+IQR'!$P41)</f>
        <v>0</v>
      </c>
      <c r="I41" s="20">
        <f>MEDIAN('converted2usd+IQR'!I41, 'converted2usd+IQR'!$O41, 'converted2usd+IQR'!$P41)</f>
        <v>0</v>
      </c>
      <c r="J41" s="20">
        <f>MEDIAN('converted2usd+IQR'!J41, 'converted2usd+IQR'!$O41, 'converted2usd+IQR'!$P41)</f>
        <v>0</v>
      </c>
      <c r="K41" s="20">
        <f>MEDIAN('converted2usd+IQR'!K41, 'converted2usd+IQR'!$O41, 'converted2usd+IQR'!$P41)</f>
        <v>0</v>
      </c>
    </row>
    <row r="42" spans="1:11">
      <c r="A42" s="6" t="s">
        <v>40</v>
      </c>
      <c r="B42" s="20">
        <f>MEDIAN('converted2usd+IQR'!B42, 'converted2usd+IQR'!$O42, 'converted2usd+IQR'!$P42)</f>
        <v>0</v>
      </c>
      <c r="C42" s="20">
        <f>MEDIAN('converted2usd+IQR'!C42, 'converted2usd+IQR'!$O42, 'converted2usd+IQR'!$P42)</f>
        <v>5.7324210098440851E-4</v>
      </c>
      <c r="D42" s="20">
        <f>MEDIAN('converted2usd+IQR'!D42, 'converted2usd+IQR'!$O42, 'converted2usd+IQR'!$P42)</f>
        <v>0</v>
      </c>
      <c r="E42" s="20">
        <f>MEDIAN('converted2usd+IQR'!E42, 'converted2usd+IQR'!$O42, 'converted2usd+IQR'!$P42)</f>
        <v>0</v>
      </c>
      <c r="F42" s="20">
        <f>MEDIAN('converted2usd+IQR'!F42, 'converted2usd+IQR'!$O42, 'converted2usd+IQR'!$P42)</f>
        <v>1.7197263029532254E-3</v>
      </c>
      <c r="G42" s="20">
        <f>MEDIAN('converted2usd+IQR'!G42, 'converted2usd+IQR'!$O42, 'converted2usd+IQR'!$P42)</f>
        <v>0</v>
      </c>
      <c r="H42" s="20">
        <f>MEDIAN('converted2usd+IQR'!H42, 'converted2usd+IQR'!$O42, 'converted2usd+IQR'!$P42)</f>
        <v>1.7197263029532254E-3</v>
      </c>
      <c r="I42" s="20">
        <f>MEDIAN('converted2usd+IQR'!I42, 'converted2usd+IQR'!$O42, 'converted2usd+IQR'!$P42)</f>
        <v>0</v>
      </c>
      <c r="J42" s="20">
        <f>MEDIAN('converted2usd+IQR'!J42, 'converted2usd+IQR'!$O42, 'converted2usd+IQR'!$P42)</f>
        <v>0</v>
      </c>
      <c r="K42" s="20">
        <f>MEDIAN('converted2usd+IQR'!K42, 'converted2usd+IQR'!$O42, 'converted2usd+IQR'!$P42)</f>
        <v>0</v>
      </c>
    </row>
    <row r="43" spans="1:11">
      <c r="A43" s="5" t="s">
        <v>41</v>
      </c>
      <c r="B43" s="20">
        <f>MEDIAN('converted2usd+IQR'!B43, 'converted2usd+IQR'!$O43, 'converted2usd+IQR'!$P43)</f>
        <v>0</v>
      </c>
      <c r="C43" s="20">
        <f>MEDIAN('converted2usd+IQR'!C43, 'converted2usd+IQR'!$O43, 'converted2usd+IQR'!$P43)</f>
        <v>0</v>
      </c>
      <c r="D43" s="20">
        <f>MEDIAN('converted2usd+IQR'!D43, 'converted2usd+IQR'!$O43, 'converted2usd+IQR'!$P43)</f>
        <v>0</v>
      </c>
      <c r="E43" s="20">
        <f>MEDIAN('converted2usd+IQR'!E43, 'converted2usd+IQR'!$O43, 'converted2usd+IQR'!$P43)</f>
        <v>0</v>
      </c>
      <c r="F43" s="20">
        <f>MEDIAN('converted2usd+IQR'!F43, 'converted2usd+IQR'!$O43, 'converted2usd+IQR'!$P43)</f>
        <v>0</v>
      </c>
      <c r="G43" s="20">
        <f>MEDIAN('converted2usd+IQR'!G43, 'converted2usd+IQR'!$O43, 'converted2usd+IQR'!$P43)</f>
        <v>0</v>
      </c>
      <c r="H43" s="20">
        <f>MEDIAN('converted2usd+IQR'!H43, 'converted2usd+IQR'!$O43, 'converted2usd+IQR'!$P43)</f>
        <v>0</v>
      </c>
      <c r="I43" s="20">
        <f>MEDIAN('converted2usd+IQR'!I43, 'converted2usd+IQR'!$O43, 'converted2usd+IQR'!$P43)</f>
        <v>0</v>
      </c>
      <c r="J43" s="20">
        <f>MEDIAN('converted2usd+IQR'!J43, 'converted2usd+IQR'!$O43, 'converted2usd+IQR'!$P43)</f>
        <v>0</v>
      </c>
      <c r="K43" s="20">
        <f>MEDIAN('converted2usd+IQR'!K43, 'converted2usd+IQR'!$O43, 'converted2usd+IQR'!$P43)</f>
        <v>0</v>
      </c>
    </row>
    <row r="44" spans="1:11">
      <c r="A44" s="6" t="s">
        <v>42</v>
      </c>
      <c r="B44" s="20">
        <f>MEDIAN('converted2usd+IQR'!B44, 'converted2usd+IQR'!$O44, 'converted2usd+IQR'!$P44)</f>
        <v>4601.9655600002307</v>
      </c>
      <c r="C44" s="20">
        <f>MEDIAN('converted2usd+IQR'!C44, 'converted2usd+IQR'!$O44, 'converted2usd+IQR'!$P44)</f>
        <v>2407.6168241345158</v>
      </c>
      <c r="D44" s="20">
        <f>MEDIAN('converted2usd+IQR'!D44, 'converted2usd+IQR'!$O44, 'converted2usd+IQR'!$P44)</f>
        <v>1559.3712021266699</v>
      </c>
      <c r="E44" s="20">
        <f>MEDIAN('converted2usd+IQR'!E44, 'converted2usd+IQR'!$O44, 'converted2usd+IQR'!$P44)</f>
        <v>678.46136449708717</v>
      </c>
      <c r="F44" s="20">
        <f>MEDIAN('converted2usd+IQR'!F44, 'converted2usd+IQR'!$O44, 'converted2usd+IQR'!$P44)</f>
        <v>62736.10542265742</v>
      </c>
      <c r="G44" s="20">
        <f>MEDIAN('converted2usd+IQR'!G44, 'converted2usd+IQR'!$O44, 'converted2usd+IQR'!$P44)</f>
        <v>53730.856859692176</v>
      </c>
      <c r="H44" s="20">
        <f>MEDIAN('converted2usd+IQR'!H44, 'converted2usd+IQR'!$O44, 'converted2usd+IQR'!$P44)</f>
        <v>39797.769378258963</v>
      </c>
      <c r="I44" s="20">
        <f>MEDIAN('converted2usd+IQR'!I44, 'converted2usd+IQR'!$O44, 'converted2usd+IQR'!$P44)</f>
        <v>31233.571593897381</v>
      </c>
      <c r="J44" s="20">
        <f>MEDIAN('converted2usd+IQR'!J44, 'converted2usd+IQR'!$O44, 'converted2usd+IQR'!$P44)</f>
        <v>24579.787695549752</v>
      </c>
      <c r="K44" s="20">
        <f>MEDIAN('converted2usd+IQR'!K44, 'converted2usd+IQR'!$O44, 'converted2usd+IQR'!$P44)</f>
        <v>18158.899956386504</v>
      </c>
    </row>
    <row r="45" spans="1:11">
      <c r="A45" s="5" t="s">
        <v>43</v>
      </c>
      <c r="B45" s="20">
        <f>MEDIAN('converted2usd+IQR'!B45, 'converted2usd+IQR'!$O45, 'converted2usd+IQR'!$P45)</f>
        <v>0.9639265295902596</v>
      </c>
      <c r="C45" s="20">
        <f>MEDIAN('converted2usd+IQR'!C45, 'converted2usd+IQR'!$O45, 'converted2usd+IQR'!$P45)</f>
        <v>2.2608668462825072</v>
      </c>
      <c r="D45" s="20">
        <f>MEDIAN('converted2usd+IQR'!D45, 'converted2usd+IQR'!$O45, 'converted2usd+IQR'!$P45)</f>
        <v>82.86862421381619</v>
      </c>
      <c r="E45" s="20">
        <f>MEDIAN('converted2usd+IQR'!E45, 'converted2usd+IQR'!$O45, 'converted2usd+IQR'!$P45)</f>
        <v>125.00122948686446</v>
      </c>
      <c r="F45" s="20">
        <f>MEDIAN('converted2usd+IQR'!F45, 'converted2usd+IQR'!$O45, 'converted2usd+IQR'!$P45)</f>
        <v>153.87193426968233</v>
      </c>
      <c r="G45" s="20">
        <f>MEDIAN('converted2usd+IQR'!G45, 'converted2usd+IQR'!$O45, 'converted2usd+IQR'!$P45)</f>
        <v>1249.7085218586089</v>
      </c>
      <c r="H45" s="20">
        <f>MEDIAN('converted2usd+IQR'!H45, 'converted2usd+IQR'!$O45, 'converted2usd+IQR'!$P45)</f>
        <v>421.93331370755305</v>
      </c>
      <c r="I45" s="20">
        <f>MEDIAN('converted2usd+IQR'!I45, 'converted2usd+IQR'!$O45, 'converted2usd+IQR'!$P45)</f>
        <v>387.92484536477616</v>
      </c>
      <c r="J45" s="20">
        <f>MEDIAN('converted2usd+IQR'!J45, 'converted2usd+IQR'!$O45, 'converted2usd+IQR'!$P45)</f>
        <v>2195.4485689130452</v>
      </c>
      <c r="K45" s="20">
        <f>MEDIAN('converted2usd+IQR'!K45, 'converted2usd+IQR'!$O45, 'converted2usd+IQR'!$P45)</f>
        <v>861.88977737655296</v>
      </c>
    </row>
    <row r="46" spans="1:11">
      <c r="A46" s="6" t="s">
        <v>44</v>
      </c>
      <c r="B46" s="20">
        <f>MEDIAN('converted2usd+IQR'!B46, 'converted2usd+IQR'!$O46, 'converted2usd+IQR'!$P46)</f>
        <v>33.02888083414306</v>
      </c>
      <c r="C46" s="20">
        <f>MEDIAN('converted2usd+IQR'!C46, 'converted2usd+IQR'!$O46, 'converted2usd+IQR'!$P46)</f>
        <v>31.364081692210437</v>
      </c>
      <c r="D46" s="20">
        <f>MEDIAN('converted2usd+IQR'!D46, 'converted2usd+IQR'!$O46, 'converted2usd+IQR'!$P46)</f>
        <v>17.675992366506513</v>
      </c>
      <c r="E46" s="20">
        <f>MEDIAN('converted2usd+IQR'!E46, 'converted2usd+IQR'!$O46, 'converted2usd+IQR'!$P46)</f>
        <v>20.770906212588184</v>
      </c>
      <c r="F46" s="20">
        <f>MEDIAN('converted2usd+IQR'!F46, 'converted2usd+IQR'!$O46, 'converted2usd+IQR'!$P46)</f>
        <v>19.837854420927464</v>
      </c>
      <c r="G46" s="20">
        <f>MEDIAN('converted2usd+IQR'!G46, 'converted2usd+IQR'!$O46, 'converted2usd+IQR'!$P46)</f>
        <v>84.433816014348139</v>
      </c>
      <c r="H46" s="20">
        <f>MEDIAN('converted2usd+IQR'!H46, 'converted2usd+IQR'!$O46, 'converted2usd+IQR'!$P46)</f>
        <v>77.273410649469199</v>
      </c>
      <c r="I46" s="20">
        <f>MEDIAN('converted2usd+IQR'!I46, 'converted2usd+IQR'!$O46, 'converted2usd+IQR'!$P46)</f>
        <v>74.396113491928929</v>
      </c>
      <c r="J46" s="20">
        <f>MEDIAN('converted2usd+IQR'!J46, 'converted2usd+IQR'!$O46, 'converted2usd+IQR'!$P46)</f>
        <v>91.817600690956397</v>
      </c>
      <c r="K46" s="20">
        <f>MEDIAN('converted2usd+IQR'!K46, 'converted2usd+IQR'!$O46, 'converted2usd+IQR'!$P46)</f>
        <v>145.52279959957383</v>
      </c>
    </row>
    <row r="47" spans="1:11">
      <c r="A47" s="5" t="s">
        <v>45</v>
      </c>
      <c r="B47" s="20">
        <f>MEDIAN('converted2usd+IQR'!B47, 'converted2usd+IQR'!$O47, 'converted2usd+IQR'!$P47)</f>
        <v>0</v>
      </c>
      <c r="C47" s="20">
        <f>MEDIAN('converted2usd+IQR'!C47, 'converted2usd+IQR'!$O47, 'converted2usd+IQR'!$P47)</f>
        <v>0</v>
      </c>
      <c r="D47" s="20">
        <f>MEDIAN('converted2usd+IQR'!D47, 'converted2usd+IQR'!$O47, 'converted2usd+IQR'!$P47)</f>
        <v>0</v>
      </c>
      <c r="E47" s="20">
        <f>MEDIAN('converted2usd+IQR'!E47, 'converted2usd+IQR'!$O47, 'converted2usd+IQR'!$P47)</f>
        <v>0</v>
      </c>
      <c r="F47" s="20">
        <f>MEDIAN('converted2usd+IQR'!F47, 'converted2usd+IQR'!$O47, 'converted2usd+IQR'!$P47)</f>
        <v>0</v>
      </c>
      <c r="G47" s="20">
        <f>MEDIAN('converted2usd+IQR'!G47, 'converted2usd+IQR'!$O47, 'converted2usd+IQR'!$P47)</f>
        <v>0</v>
      </c>
      <c r="H47" s="20">
        <f>MEDIAN('converted2usd+IQR'!H47, 'converted2usd+IQR'!$O47, 'converted2usd+IQR'!$P47)</f>
        <v>0</v>
      </c>
      <c r="I47" s="20">
        <f>MEDIAN('converted2usd+IQR'!I47, 'converted2usd+IQR'!$O47, 'converted2usd+IQR'!$P47)</f>
        <v>0</v>
      </c>
      <c r="J47" s="20">
        <f>MEDIAN('converted2usd+IQR'!J47, 'converted2usd+IQR'!$O47, 'converted2usd+IQR'!$P47)</f>
        <v>0</v>
      </c>
      <c r="K47" s="20">
        <f>MEDIAN('converted2usd+IQR'!K47, 'converted2usd+IQR'!$O47, 'converted2usd+IQR'!$P47)</f>
        <v>0</v>
      </c>
    </row>
    <row r="48" spans="1:11">
      <c r="A48" s="6" t="s">
        <v>46</v>
      </c>
      <c r="B48" s="20">
        <f>MEDIAN('converted2usd+IQR'!B48, 'converted2usd+IQR'!$O48, 'converted2usd+IQR'!$P48)</f>
        <v>0</v>
      </c>
      <c r="C48" s="20">
        <f>MEDIAN('converted2usd+IQR'!C48, 'converted2usd+IQR'!$O48, 'converted2usd+IQR'!$P48)</f>
        <v>0</v>
      </c>
      <c r="D48" s="20">
        <f>MEDIAN('converted2usd+IQR'!D48, 'converted2usd+IQR'!$O48, 'converted2usd+IQR'!$P48)</f>
        <v>0</v>
      </c>
      <c r="E48" s="20">
        <f>MEDIAN('converted2usd+IQR'!E48, 'converted2usd+IQR'!$O48, 'converted2usd+IQR'!$P48)</f>
        <v>0</v>
      </c>
      <c r="F48" s="20">
        <f>MEDIAN('converted2usd+IQR'!F48, 'converted2usd+IQR'!$O48, 'converted2usd+IQR'!$P48)</f>
        <v>0</v>
      </c>
      <c r="G48" s="20">
        <f>MEDIAN('converted2usd+IQR'!G48, 'converted2usd+IQR'!$O48, 'converted2usd+IQR'!$P48)</f>
        <v>0</v>
      </c>
      <c r="H48" s="20">
        <f>MEDIAN('converted2usd+IQR'!H48, 'converted2usd+IQR'!$O48, 'converted2usd+IQR'!$P48)</f>
        <v>0</v>
      </c>
      <c r="I48" s="20">
        <f>MEDIAN('converted2usd+IQR'!I48, 'converted2usd+IQR'!$O48, 'converted2usd+IQR'!$P48)</f>
        <v>0</v>
      </c>
      <c r="J48" s="20">
        <f>MEDIAN('converted2usd+IQR'!J48, 'converted2usd+IQR'!$O48, 'converted2usd+IQR'!$P48)</f>
        <v>0</v>
      </c>
      <c r="K48" s="20">
        <f>MEDIAN('converted2usd+IQR'!K48, 'converted2usd+IQR'!$O48, 'converted2usd+IQR'!$P48)</f>
        <v>0</v>
      </c>
    </row>
    <row r="49" spans="1:11">
      <c r="A49" s="5" t="s">
        <v>47</v>
      </c>
      <c r="B49" s="20">
        <f>MEDIAN('converted2usd+IQR'!B49, 'converted2usd+IQR'!$O49, 'converted2usd+IQR'!$P49)</f>
        <v>0</v>
      </c>
      <c r="C49" s="20">
        <f>MEDIAN('converted2usd+IQR'!C49, 'converted2usd+IQR'!$O49, 'converted2usd+IQR'!$P49)</f>
        <v>0</v>
      </c>
      <c r="D49" s="20">
        <f>MEDIAN('converted2usd+IQR'!D49, 'converted2usd+IQR'!$O49, 'converted2usd+IQR'!$P49)</f>
        <v>0</v>
      </c>
      <c r="E49" s="20">
        <f>MEDIAN('converted2usd+IQR'!E49, 'converted2usd+IQR'!$O49, 'converted2usd+IQR'!$P49)</f>
        <v>0</v>
      </c>
      <c r="F49" s="20">
        <f>MEDIAN('converted2usd+IQR'!F49, 'converted2usd+IQR'!$O49, 'converted2usd+IQR'!$P49)</f>
        <v>0</v>
      </c>
      <c r="G49" s="20">
        <f>MEDIAN('converted2usd+IQR'!G49, 'converted2usd+IQR'!$O49, 'converted2usd+IQR'!$P49)</f>
        <v>0</v>
      </c>
      <c r="H49" s="20">
        <f>MEDIAN('converted2usd+IQR'!H49, 'converted2usd+IQR'!$O49, 'converted2usd+IQR'!$P49)</f>
        <v>0</v>
      </c>
      <c r="I49" s="20">
        <f>MEDIAN('converted2usd+IQR'!I49, 'converted2usd+IQR'!$O49, 'converted2usd+IQR'!$P49)</f>
        <v>0</v>
      </c>
      <c r="J49" s="20">
        <f>MEDIAN('converted2usd+IQR'!J49, 'converted2usd+IQR'!$O49, 'converted2usd+IQR'!$P49)</f>
        <v>0</v>
      </c>
      <c r="K49" s="20">
        <f>MEDIAN('converted2usd+IQR'!K49, 'converted2usd+IQR'!$O49, 'converted2usd+IQR'!$P49)</f>
        <v>0</v>
      </c>
    </row>
    <row r="50" spans="1:11">
      <c r="A50" s="6" t="s">
        <v>48</v>
      </c>
      <c r="B50" s="20">
        <f>MEDIAN('converted2usd+IQR'!B50, 'converted2usd+IQR'!$O50, 'converted2usd+IQR'!$P50)</f>
        <v>0</v>
      </c>
      <c r="C50" s="20">
        <f>MEDIAN('converted2usd+IQR'!C50, 'converted2usd+IQR'!$O50, 'converted2usd+IQR'!$P50)</f>
        <v>0</v>
      </c>
      <c r="D50" s="20">
        <f>MEDIAN('converted2usd+IQR'!D50, 'converted2usd+IQR'!$O50, 'converted2usd+IQR'!$P50)</f>
        <v>0</v>
      </c>
      <c r="E50" s="20">
        <f>MEDIAN('converted2usd+IQR'!E50, 'converted2usd+IQR'!$O50, 'converted2usd+IQR'!$P50)</f>
        <v>0</v>
      </c>
      <c r="F50" s="20">
        <f>MEDIAN('converted2usd+IQR'!F50, 'converted2usd+IQR'!$O50, 'converted2usd+IQR'!$P50)</f>
        <v>0</v>
      </c>
      <c r="G50" s="20">
        <f>MEDIAN('converted2usd+IQR'!G50, 'converted2usd+IQR'!$O50, 'converted2usd+IQR'!$P50)</f>
        <v>0</v>
      </c>
      <c r="H50" s="20">
        <f>MEDIAN('converted2usd+IQR'!H50, 'converted2usd+IQR'!$O50, 'converted2usd+IQR'!$P50)</f>
        <v>0</v>
      </c>
      <c r="I50" s="20">
        <f>MEDIAN('converted2usd+IQR'!I50, 'converted2usd+IQR'!$O50, 'converted2usd+IQR'!$P50)</f>
        <v>0</v>
      </c>
      <c r="J50" s="20">
        <f>MEDIAN('converted2usd+IQR'!J50, 'converted2usd+IQR'!$O50, 'converted2usd+IQR'!$P50)</f>
        <v>0</v>
      </c>
      <c r="K50" s="20">
        <f>MEDIAN('converted2usd+IQR'!K50, 'converted2usd+IQR'!$O50, 'converted2usd+IQR'!$P50)</f>
        <v>0</v>
      </c>
    </row>
    <row r="51" spans="1:11">
      <c r="A51" s="5" t="s">
        <v>49</v>
      </c>
      <c r="B51" s="20">
        <f>MEDIAN('converted2usd+IQR'!B51, 'converted2usd+IQR'!$O51, 'converted2usd+IQR'!$P51)</f>
        <v>2807.0448936157486</v>
      </c>
      <c r="C51" s="20">
        <f>MEDIAN('converted2usd+IQR'!C51, 'converted2usd+IQR'!$O51, 'converted2usd+IQR'!$P51)</f>
        <v>2661.4455602399071</v>
      </c>
      <c r="D51" s="20">
        <f>MEDIAN('converted2usd+IQR'!D51, 'converted2usd+IQR'!$O51, 'converted2usd+IQR'!$P51)</f>
        <v>2982.4258122962315</v>
      </c>
      <c r="E51" s="20">
        <f>MEDIAN('converted2usd+IQR'!E51, 'converted2usd+IQR'!$O51, 'converted2usd+IQR'!$P51)</f>
        <v>3424.4994373078425</v>
      </c>
      <c r="F51" s="20">
        <f>MEDIAN('converted2usd+IQR'!F51, 'converted2usd+IQR'!$O51, 'converted2usd+IQR'!$P51)</f>
        <v>3449.0925952169073</v>
      </c>
      <c r="G51" s="20">
        <f>MEDIAN('converted2usd+IQR'!G51, 'converted2usd+IQR'!$O51, 'converted2usd+IQR'!$P51)</f>
        <v>2159.9843454806037</v>
      </c>
      <c r="H51" s="20">
        <f>MEDIAN('converted2usd+IQR'!H51, 'converted2usd+IQR'!$O51, 'converted2usd+IQR'!$P51)</f>
        <v>2229.7784451113353</v>
      </c>
      <c r="I51" s="20">
        <f>MEDIAN('converted2usd+IQR'!I51, 'converted2usd+IQR'!$O51, 'converted2usd+IQR'!$P51)</f>
        <v>4427.3559516240521</v>
      </c>
      <c r="J51" s="20">
        <f>MEDIAN('converted2usd+IQR'!J51, 'converted2usd+IQR'!$O51, 'converted2usd+IQR'!$P51)</f>
        <v>5527.1511704030409</v>
      </c>
      <c r="K51" s="20">
        <f>MEDIAN('converted2usd+IQR'!K51, 'converted2usd+IQR'!$O51, 'converted2usd+IQR'!$P51)</f>
        <v>3493.812238070796</v>
      </c>
    </row>
    <row r="52" spans="1:11">
      <c r="A52" s="6" t="s">
        <v>50</v>
      </c>
      <c r="B52" s="20">
        <f>MEDIAN('converted2usd+IQR'!B52, 'converted2usd+IQR'!$O52, 'converted2usd+IQR'!$P52)</f>
        <v>1244.9224250481379</v>
      </c>
      <c r="C52" s="20">
        <f>MEDIAN('converted2usd+IQR'!C52, 'converted2usd+IQR'!$O52, 'converted2usd+IQR'!$P52)</f>
        <v>1077.9330453225966</v>
      </c>
      <c r="D52" s="20">
        <f>MEDIAN('converted2usd+IQR'!D52, 'converted2usd+IQR'!$O52, 'converted2usd+IQR'!$P52)</f>
        <v>1079.2423683630702</v>
      </c>
      <c r="E52" s="20">
        <f>MEDIAN('converted2usd+IQR'!E52, 'converted2usd+IQR'!$O52, 'converted2usd+IQR'!$P52)</f>
        <v>651.97008667433795</v>
      </c>
      <c r="F52" s="20">
        <f>MEDIAN('converted2usd+IQR'!F52, 'converted2usd+IQR'!$O52, 'converted2usd+IQR'!$P52)</f>
        <v>278.25414746651296</v>
      </c>
      <c r="G52" s="20">
        <f>MEDIAN('converted2usd+IQR'!G52, 'converted2usd+IQR'!$O52, 'converted2usd+IQR'!$P52)</f>
        <v>0</v>
      </c>
      <c r="H52" s="20">
        <f>MEDIAN('converted2usd+IQR'!H52, 'converted2usd+IQR'!$O52, 'converted2usd+IQR'!$P52)</f>
        <v>0</v>
      </c>
      <c r="I52" s="20">
        <f>MEDIAN('converted2usd+IQR'!I52, 'converted2usd+IQR'!$O52, 'converted2usd+IQR'!$P52)</f>
        <v>3277.655485809883</v>
      </c>
      <c r="J52" s="20">
        <f>MEDIAN('converted2usd+IQR'!J52, 'converted2usd+IQR'!$O52, 'converted2usd+IQR'!$P52)</f>
        <v>9962.8394856723789</v>
      </c>
      <c r="K52" s="20">
        <f>MEDIAN('converted2usd+IQR'!K52, 'converted2usd+IQR'!$O52, 'converted2usd+IQR'!$P52)</f>
        <v>9688.3844970874397</v>
      </c>
    </row>
    <row r="53" spans="1:11">
      <c r="A53" s="5" t="s">
        <v>51</v>
      </c>
      <c r="B53" s="20">
        <f>MEDIAN('converted2usd+IQR'!B53, 'converted2usd+IQR'!$O53, 'converted2usd+IQR'!$P53)</f>
        <v>2229.8962835561933</v>
      </c>
      <c r="C53" s="20">
        <f>MEDIAN('converted2usd+IQR'!C53, 'converted2usd+IQR'!$O53, 'converted2usd+IQR'!$P53)</f>
        <v>1541.8022731654828</v>
      </c>
      <c r="D53" s="20">
        <f>MEDIAN('converted2usd+IQR'!D53, 'converted2usd+IQR'!$O53, 'converted2usd+IQR'!$P53)</f>
        <v>1624.4905435274798</v>
      </c>
      <c r="E53" s="20">
        <f>MEDIAN('converted2usd+IQR'!E53, 'converted2usd+IQR'!$O53, 'converted2usd+IQR'!$P53)</f>
        <v>1748.5112170484088</v>
      </c>
      <c r="F53" s="20">
        <f>MEDIAN('converted2usd+IQR'!F53, 'converted2usd+IQR'!$O53, 'converted2usd+IQR'!$P53)</f>
        <v>2114.5743678549252</v>
      </c>
      <c r="G53" s="20">
        <f>MEDIAN('converted2usd+IQR'!G53, 'converted2usd+IQR'!$O53, 'converted2usd+IQR'!$P53)</f>
        <v>1791.2198136661711</v>
      </c>
      <c r="H53" s="20">
        <f>MEDIAN('converted2usd+IQR'!H53, 'converted2usd+IQR'!$O53, 'converted2usd+IQR'!$P53)</f>
        <v>1276.2111504412183</v>
      </c>
      <c r="I53" s="20">
        <f>MEDIAN('converted2usd+IQR'!I53, 'converted2usd+IQR'!$O53, 'converted2usd+IQR'!$P53)</f>
        <v>5167.5585889531412</v>
      </c>
      <c r="J53" s="20">
        <f>MEDIAN('converted2usd+IQR'!J53, 'converted2usd+IQR'!$O53, 'converted2usd+IQR'!$P53)</f>
        <v>12766.084914692481</v>
      </c>
      <c r="K53" s="20">
        <f>MEDIAN('converted2usd+IQR'!K53, 'converted2usd+IQR'!$O53, 'converted2usd+IQR'!$P53)</f>
        <v>6601.7369444164297</v>
      </c>
    </row>
    <row r="54" spans="1:11">
      <c r="A54" s="6" t="s">
        <v>52</v>
      </c>
      <c r="B54" s="20">
        <f>MEDIAN('converted2usd+IQR'!B54, 'converted2usd+IQR'!$O54, 'converted2usd+IQR'!$P54)</f>
        <v>0</v>
      </c>
      <c r="C54" s="20">
        <f>MEDIAN('converted2usd+IQR'!C54, 'converted2usd+IQR'!$O54, 'converted2usd+IQR'!$P54)</f>
        <v>0</v>
      </c>
      <c r="D54" s="20">
        <f>MEDIAN('converted2usd+IQR'!D54, 'converted2usd+IQR'!$O54, 'converted2usd+IQR'!$P54)</f>
        <v>0</v>
      </c>
      <c r="E54" s="20">
        <f>MEDIAN('converted2usd+IQR'!E54, 'converted2usd+IQR'!$O54, 'converted2usd+IQR'!$P54)</f>
        <v>0</v>
      </c>
      <c r="F54" s="20">
        <f>MEDIAN('converted2usd+IQR'!F54, 'converted2usd+IQR'!$O54, 'converted2usd+IQR'!$P54)</f>
        <v>0</v>
      </c>
      <c r="G54" s="20">
        <f>MEDIAN('converted2usd+IQR'!G54, 'converted2usd+IQR'!$O54, 'converted2usd+IQR'!$P54)</f>
        <v>0</v>
      </c>
      <c r="H54" s="20">
        <f>MEDIAN('converted2usd+IQR'!H54, 'converted2usd+IQR'!$O54, 'converted2usd+IQR'!$P54)</f>
        <v>0</v>
      </c>
      <c r="I54" s="20">
        <f>MEDIAN('converted2usd+IQR'!I54, 'converted2usd+IQR'!$O54, 'converted2usd+IQR'!$P54)</f>
        <v>0</v>
      </c>
      <c r="J54" s="20">
        <f>MEDIAN('converted2usd+IQR'!J54, 'converted2usd+IQR'!$O54, 'converted2usd+IQR'!$P54)</f>
        <v>0</v>
      </c>
      <c r="K54" s="20">
        <f>MEDIAN('converted2usd+IQR'!K54, 'converted2usd+IQR'!$O54, 'converted2usd+IQR'!$P54)</f>
        <v>0</v>
      </c>
    </row>
    <row r="55" spans="1:11">
      <c r="A55" s="5" t="s">
        <v>53</v>
      </c>
      <c r="B55" s="20">
        <f>MEDIAN('converted2usd+IQR'!B55, 'converted2usd+IQR'!$O55, 'converted2usd+IQR'!$P55)</f>
        <v>1482.8981286626386</v>
      </c>
      <c r="C55" s="20">
        <f>MEDIAN('converted2usd+IQR'!C55, 'converted2usd+IQR'!$O55, 'converted2usd+IQR'!$P55)</f>
        <v>1507.4375556956695</v>
      </c>
      <c r="D55" s="20">
        <f>MEDIAN('converted2usd+IQR'!D55, 'converted2usd+IQR'!$O55, 'converted2usd+IQR'!$P55)</f>
        <v>2374.8407337460067</v>
      </c>
      <c r="E55" s="20">
        <f>MEDIAN('converted2usd+IQR'!E55, 'converted2usd+IQR'!$O55, 'converted2usd+IQR'!$P55)</f>
        <v>2616.9788905182377</v>
      </c>
      <c r="F55" s="20">
        <f>MEDIAN('converted2usd+IQR'!F55, 'converted2usd+IQR'!$O55, 'converted2usd+IQR'!$P55)</f>
        <v>3309.5874569213051</v>
      </c>
      <c r="G55" s="20">
        <f>MEDIAN('converted2usd+IQR'!G55, 'converted2usd+IQR'!$O55, 'converted2usd+IQR'!$P55)</f>
        <v>2737.805782599271</v>
      </c>
      <c r="H55" s="20">
        <f>MEDIAN('converted2usd+IQR'!H55, 'converted2usd+IQR'!$O55, 'converted2usd+IQR'!$P55)</f>
        <v>4261.8859097415361</v>
      </c>
      <c r="I55" s="20">
        <f>MEDIAN('converted2usd+IQR'!I55, 'converted2usd+IQR'!$O55, 'converted2usd+IQR'!$P55)</f>
        <v>18997.47454757199</v>
      </c>
      <c r="J55" s="20">
        <f>MEDIAN('converted2usd+IQR'!J55, 'converted2usd+IQR'!$O55, 'converted2usd+IQR'!$P55)</f>
        <v>18157.892598500483</v>
      </c>
      <c r="K55" s="20">
        <f>MEDIAN('converted2usd+IQR'!K55, 'converted2usd+IQR'!$O55, 'converted2usd+IQR'!$P55)</f>
        <v>7347.2381522158821</v>
      </c>
    </row>
    <row r="56" spans="1:11">
      <c r="A56" s="7" t="s">
        <v>54</v>
      </c>
      <c r="B56" s="20">
        <f>MEDIAN('converted2usd+IQR'!B56, 'converted2usd+IQR'!$O56, 'converted2usd+IQR'!$P56)</f>
        <v>7764.7617308827184</v>
      </c>
      <c r="C56" s="20">
        <f>MEDIAN('converted2usd+IQR'!C56, 'converted2usd+IQR'!$O56, 'converted2usd+IQR'!$P56)</f>
        <v>6788.6184344236553</v>
      </c>
      <c r="D56" s="20">
        <f>MEDIAN('converted2usd+IQR'!D56, 'converted2usd+IQR'!$O56, 'converted2usd+IQR'!$P56)</f>
        <v>8060.9994579327877</v>
      </c>
      <c r="E56" s="20">
        <f>MEDIAN('converted2usd+IQR'!E56, 'converted2usd+IQR'!$O56, 'converted2usd+IQR'!$P56)</f>
        <v>8441.959631548827</v>
      </c>
      <c r="F56" s="20">
        <f>MEDIAN('converted2usd+IQR'!F56, 'converted2usd+IQR'!$O56, 'converted2usd+IQR'!$P56)</f>
        <v>9151.5085674596503</v>
      </c>
      <c r="G56" s="20">
        <f>MEDIAN('converted2usd+IQR'!G56, 'converted2usd+IQR'!$O56, 'converted2usd+IQR'!$P56)</f>
        <v>6689.009941746046</v>
      </c>
      <c r="H56" s="20">
        <f>MEDIAN('converted2usd+IQR'!H56, 'converted2usd+IQR'!$O56, 'converted2usd+IQR'!$P56)</f>
        <v>7767.8755052940896</v>
      </c>
      <c r="I56" s="20">
        <f>MEDIAN('converted2usd+IQR'!I56, 'converted2usd+IQR'!$O56, 'converted2usd+IQR'!$P56)</f>
        <v>32777.587751422041</v>
      </c>
      <c r="J56" s="20">
        <f>MEDIAN('converted2usd+IQR'!J56, 'converted2usd+IQR'!$O56, 'converted2usd+IQR'!$P56)</f>
        <v>50068.846016022188</v>
      </c>
      <c r="K56" s="20">
        <f>MEDIAN('converted2usd+IQR'!K56, 'converted2usd+IQR'!$O56, 'converted2usd+IQR'!$P56)</f>
        <v>27131.171831790547</v>
      </c>
    </row>
    <row r="57" spans="1:11">
      <c r="A57" s="5" t="s">
        <v>55</v>
      </c>
      <c r="B57" s="20">
        <f>MEDIAN('converted2usd+IQR'!B57, 'converted2usd+IQR'!$O57, 'converted2usd+IQR'!$P57)</f>
        <v>0</v>
      </c>
      <c r="C57" s="20">
        <f>MEDIAN('converted2usd+IQR'!C57, 'converted2usd+IQR'!$O57, 'converted2usd+IQR'!$P57)</f>
        <v>0</v>
      </c>
      <c r="D57" s="20">
        <f>MEDIAN('converted2usd+IQR'!D57, 'converted2usd+IQR'!$O57, 'converted2usd+IQR'!$P57)</f>
        <v>0</v>
      </c>
      <c r="E57" s="20">
        <f>MEDIAN('converted2usd+IQR'!E57, 'converted2usd+IQR'!$O57, 'converted2usd+IQR'!$P57)</f>
        <v>0</v>
      </c>
      <c r="F57" s="20">
        <f>MEDIAN('converted2usd+IQR'!F57, 'converted2usd+IQR'!$O57, 'converted2usd+IQR'!$P57)</f>
        <v>0</v>
      </c>
      <c r="G57" s="20">
        <f>MEDIAN('converted2usd+IQR'!G57, 'converted2usd+IQR'!$O57, 'converted2usd+IQR'!$P57)</f>
        <v>0</v>
      </c>
      <c r="H57" s="20">
        <f>MEDIAN('converted2usd+IQR'!H57, 'converted2usd+IQR'!$O57, 'converted2usd+IQR'!$P57)</f>
        <v>0</v>
      </c>
      <c r="I57" s="20">
        <f>MEDIAN('converted2usd+IQR'!I57, 'converted2usd+IQR'!$O57, 'converted2usd+IQR'!$P57)</f>
        <v>0</v>
      </c>
      <c r="J57" s="20">
        <f>MEDIAN('converted2usd+IQR'!J57, 'converted2usd+IQR'!$O57, 'converted2usd+IQR'!$P57)</f>
        <v>0</v>
      </c>
      <c r="K57" s="20">
        <f>MEDIAN('converted2usd+IQR'!K57, 'converted2usd+IQR'!$O57, 'converted2usd+IQR'!$P57)</f>
        <v>0</v>
      </c>
    </row>
    <row r="58" spans="1:11">
      <c r="A58" s="6" t="s">
        <v>56</v>
      </c>
      <c r="B58" s="20">
        <f>MEDIAN('converted2usd+IQR'!B58, 'converted2usd+IQR'!$O58, 'converted2usd+IQR'!$P58)</f>
        <v>0</v>
      </c>
      <c r="C58" s="20">
        <f>MEDIAN('converted2usd+IQR'!C58, 'converted2usd+IQR'!$O58, 'converted2usd+IQR'!$P58)</f>
        <v>0</v>
      </c>
      <c r="D58" s="20">
        <f>MEDIAN('converted2usd+IQR'!D58, 'converted2usd+IQR'!$O58, 'converted2usd+IQR'!$P58)</f>
        <v>0</v>
      </c>
      <c r="E58" s="20">
        <f>MEDIAN('converted2usd+IQR'!E58, 'converted2usd+IQR'!$O58, 'converted2usd+IQR'!$P58)</f>
        <v>0</v>
      </c>
      <c r="F58" s="20">
        <f>MEDIAN('converted2usd+IQR'!F58, 'converted2usd+IQR'!$O58, 'converted2usd+IQR'!$P58)</f>
        <v>0</v>
      </c>
      <c r="G58" s="20">
        <f>MEDIAN('converted2usd+IQR'!G58, 'converted2usd+IQR'!$O58, 'converted2usd+IQR'!$P58)</f>
        <v>0</v>
      </c>
      <c r="H58" s="20">
        <f>MEDIAN('converted2usd+IQR'!H58, 'converted2usd+IQR'!$O58, 'converted2usd+IQR'!$P58)</f>
        <v>0</v>
      </c>
      <c r="I58" s="20">
        <f>MEDIAN('converted2usd+IQR'!I58, 'converted2usd+IQR'!$O58, 'converted2usd+IQR'!$P58)</f>
        <v>0</v>
      </c>
      <c r="J58" s="20">
        <f>MEDIAN('converted2usd+IQR'!J58, 'converted2usd+IQR'!$O58, 'converted2usd+IQR'!$P58)</f>
        <v>0</v>
      </c>
      <c r="K58" s="20">
        <f>MEDIAN('converted2usd+IQR'!K58, 'converted2usd+IQR'!$O58, 'converted2usd+IQR'!$P58)</f>
        <v>0</v>
      </c>
    </row>
    <row r="59" spans="1:11">
      <c r="A59" s="5" t="s">
        <v>57</v>
      </c>
      <c r="B59" s="20">
        <f>MEDIAN('converted2usd+IQR'!B59, 'converted2usd+IQR'!$O59, 'converted2usd+IQR'!$P59)</f>
        <v>0</v>
      </c>
      <c r="C59" s="20">
        <f>MEDIAN('converted2usd+IQR'!C59, 'converted2usd+IQR'!$O59, 'converted2usd+IQR'!$P59)</f>
        <v>0</v>
      </c>
      <c r="D59" s="20">
        <f>MEDIAN('converted2usd+IQR'!D59, 'converted2usd+IQR'!$O59, 'converted2usd+IQR'!$P59)</f>
        <v>0</v>
      </c>
      <c r="E59" s="20">
        <f>MEDIAN('converted2usd+IQR'!E59, 'converted2usd+IQR'!$O59, 'converted2usd+IQR'!$P59)</f>
        <v>0</v>
      </c>
      <c r="F59" s="20">
        <f>MEDIAN('converted2usd+IQR'!F59, 'converted2usd+IQR'!$O59, 'converted2usd+IQR'!$P59)</f>
        <v>0</v>
      </c>
      <c r="G59" s="20">
        <f>MEDIAN('converted2usd+IQR'!G59, 'converted2usd+IQR'!$O59, 'converted2usd+IQR'!$P59)</f>
        <v>0</v>
      </c>
      <c r="H59" s="20">
        <f>MEDIAN('converted2usd+IQR'!H59, 'converted2usd+IQR'!$O59, 'converted2usd+IQR'!$P59)</f>
        <v>0</v>
      </c>
      <c r="I59" s="20">
        <f>MEDIAN('converted2usd+IQR'!I59, 'converted2usd+IQR'!$O59, 'converted2usd+IQR'!$P59)</f>
        <v>0</v>
      </c>
      <c r="J59" s="20">
        <f>MEDIAN('converted2usd+IQR'!J59, 'converted2usd+IQR'!$O59, 'converted2usd+IQR'!$P59)</f>
        <v>0</v>
      </c>
      <c r="K59" s="20">
        <f>MEDIAN('converted2usd+IQR'!K59, 'converted2usd+IQR'!$O59, 'converted2usd+IQR'!$P59)</f>
        <v>0</v>
      </c>
    </row>
    <row r="60" spans="1:11">
      <c r="A60" s="6" t="s">
        <v>58</v>
      </c>
      <c r="B60" s="20">
        <f>MEDIAN('converted2usd+IQR'!B60, 'converted2usd+IQR'!$O60, 'converted2usd+IQR'!$P60)</f>
        <v>0</v>
      </c>
      <c r="C60" s="20">
        <f>MEDIAN('converted2usd+IQR'!C60, 'converted2usd+IQR'!$O60, 'converted2usd+IQR'!$P60)</f>
        <v>0</v>
      </c>
      <c r="D60" s="20">
        <f>MEDIAN('converted2usd+IQR'!D60, 'converted2usd+IQR'!$O60, 'converted2usd+IQR'!$P60)</f>
        <v>0</v>
      </c>
      <c r="E60" s="20">
        <f>MEDIAN('converted2usd+IQR'!E60, 'converted2usd+IQR'!$O60, 'converted2usd+IQR'!$P60)</f>
        <v>0</v>
      </c>
      <c r="F60" s="20">
        <f>MEDIAN('converted2usd+IQR'!F60, 'converted2usd+IQR'!$O60, 'converted2usd+IQR'!$P60)</f>
        <v>0</v>
      </c>
      <c r="G60" s="20">
        <f>MEDIAN('converted2usd+IQR'!G60, 'converted2usd+IQR'!$O60, 'converted2usd+IQR'!$P60)</f>
        <v>0</v>
      </c>
      <c r="H60" s="20">
        <f>MEDIAN('converted2usd+IQR'!H60, 'converted2usd+IQR'!$O60, 'converted2usd+IQR'!$P60)</f>
        <v>0</v>
      </c>
      <c r="I60" s="20">
        <f>MEDIAN('converted2usd+IQR'!I60, 'converted2usd+IQR'!$O60, 'converted2usd+IQR'!$P60)</f>
        <v>0</v>
      </c>
      <c r="J60" s="20">
        <f>MEDIAN('converted2usd+IQR'!J60, 'converted2usd+IQR'!$O60, 'converted2usd+IQR'!$P60)</f>
        <v>0</v>
      </c>
      <c r="K60" s="20">
        <f>MEDIAN('converted2usd+IQR'!K60, 'converted2usd+IQR'!$O60, 'converted2usd+IQR'!$P60)</f>
        <v>0</v>
      </c>
    </row>
    <row r="61" spans="1:11">
      <c r="A61" s="5" t="s">
        <v>59</v>
      </c>
      <c r="B61" s="20">
        <f>MEDIAN('converted2usd+IQR'!B61, 'converted2usd+IQR'!$O61, 'converted2usd+IQR'!$P61)</f>
        <v>0</v>
      </c>
      <c r="C61" s="20">
        <f>MEDIAN('converted2usd+IQR'!C61, 'converted2usd+IQR'!$O61, 'converted2usd+IQR'!$P61)</f>
        <v>0</v>
      </c>
      <c r="D61" s="20">
        <f>MEDIAN('converted2usd+IQR'!D61, 'converted2usd+IQR'!$O61, 'converted2usd+IQR'!$P61)</f>
        <v>0</v>
      </c>
      <c r="E61" s="20">
        <f>MEDIAN('converted2usd+IQR'!E61, 'converted2usd+IQR'!$O61, 'converted2usd+IQR'!$P61)</f>
        <v>0</v>
      </c>
      <c r="F61" s="20">
        <f>MEDIAN('converted2usd+IQR'!F61, 'converted2usd+IQR'!$O61, 'converted2usd+IQR'!$P61)</f>
        <v>0</v>
      </c>
      <c r="G61" s="20">
        <f>MEDIAN('converted2usd+IQR'!G61, 'converted2usd+IQR'!$O61, 'converted2usd+IQR'!$P61)</f>
        <v>0</v>
      </c>
      <c r="H61" s="20">
        <f>MEDIAN('converted2usd+IQR'!H61, 'converted2usd+IQR'!$O61, 'converted2usd+IQR'!$P61)</f>
        <v>0</v>
      </c>
      <c r="I61" s="20">
        <f>MEDIAN('converted2usd+IQR'!I61, 'converted2usd+IQR'!$O61, 'converted2usd+IQR'!$P61)</f>
        <v>0</v>
      </c>
      <c r="J61" s="20">
        <f>MEDIAN('converted2usd+IQR'!J61, 'converted2usd+IQR'!$O61, 'converted2usd+IQR'!$P61)</f>
        <v>0</v>
      </c>
      <c r="K61" s="20">
        <f>MEDIAN('converted2usd+IQR'!K61, 'converted2usd+IQR'!$O61, 'converted2usd+IQR'!$P61)</f>
        <v>0</v>
      </c>
    </row>
    <row r="62" spans="1:11">
      <c r="A62" s="6" t="s">
        <v>60</v>
      </c>
      <c r="B62" s="20">
        <f>MEDIAN('converted2usd+IQR'!B62, 'converted2usd+IQR'!$O62, 'converted2usd+IQR'!$P62)</f>
        <v>0</v>
      </c>
      <c r="C62" s="20">
        <f>MEDIAN('converted2usd+IQR'!C62, 'converted2usd+IQR'!$O62, 'converted2usd+IQR'!$P62)</f>
        <v>0</v>
      </c>
      <c r="D62" s="20">
        <f>MEDIAN('converted2usd+IQR'!D62, 'converted2usd+IQR'!$O62, 'converted2usd+IQR'!$P62)</f>
        <v>0</v>
      </c>
      <c r="E62" s="20">
        <f>MEDIAN('converted2usd+IQR'!E62, 'converted2usd+IQR'!$O62, 'converted2usd+IQR'!$P62)</f>
        <v>0</v>
      </c>
      <c r="F62" s="20">
        <f>MEDIAN('converted2usd+IQR'!F62, 'converted2usd+IQR'!$O62, 'converted2usd+IQR'!$P62)</f>
        <v>0</v>
      </c>
      <c r="G62" s="20">
        <f>MEDIAN('converted2usd+IQR'!G62, 'converted2usd+IQR'!$O62, 'converted2usd+IQR'!$P62)</f>
        <v>0</v>
      </c>
      <c r="H62" s="20">
        <f>MEDIAN('converted2usd+IQR'!H62, 'converted2usd+IQR'!$O62, 'converted2usd+IQR'!$P62)</f>
        <v>0</v>
      </c>
      <c r="I62" s="20">
        <f>MEDIAN('converted2usd+IQR'!I62, 'converted2usd+IQR'!$O62, 'converted2usd+IQR'!$P62)</f>
        <v>0</v>
      </c>
      <c r="J62" s="20">
        <f>MEDIAN('converted2usd+IQR'!J62, 'converted2usd+IQR'!$O62, 'converted2usd+IQR'!$P62)</f>
        <v>0</v>
      </c>
      <c r="K62" s="20">
        <f>MEDIAN('converted2usd+IQR'!K62, 'converted2usd+IQR'!$O62, 'converted2usd+IQR'!$P62)</f>
        <v>0</v>
      </c>
    </row>
    <row r="63" spans="1:11">
      <c r="A63" s="5" t="s">
        <v>61</v>
      </c>
      <c r="B63" s="20">
        <f>MEDIAN('converted2usd+IQR'!B63, 'converted2usd+IQR'!$O63, 'converted2usd+IQR'!$P63)</f>
        <v>0</v>
      </c>
      <c r="C63" s="20">
        <f>MEDIAN('converted2usd+IQR'!C63, 'converted2usd+IQR'!$O63, 'converted2usd+IQR'!$P63)</f>
        <v>0</v>
      </c>
      <c r="D63" s="20">
        <f>MEDIAN('converted2usd+IQR'!D63, 'converted2usd+IQR'!$O63, 'converted2usd+IQR'!$P63)</f>
        <v>0</v>
      </c>
      <c r="E63" s="20">
        <f>MEDIAN('converted2usd+IQR'!E63, 'converted2usd+IQR'!$O63, 'converted2usd+IQR'!$P63)</f>
        <v>0</v>
      </c>
      <c r="F63" s="20">
        <f>MEDIAN('converted2usd+IQR'!F63, 'converted2usd+IQR'!$O63, 'converted2usd+IQR'!$P63)</f>
        <v>0</v>
      </c>
      <c r="G63" s="20">
        <f>MEDIAN('converted2usd+IQR'!G63, 'converted2usd+IQR'!$O63, 'converted2usd+IQR'!$P63)</f>
        <v>0</v>
      </c>
      <c r="H63" s="20">
        <f>MEDIAN('converted2usd+IQR'!H63, 'converted2usd+IQR'!$O63, 'converted2usd+IQR'!$P63)</f>
        <v>0</v>
      </c>
      <c r="I63" s="20">
        <f>MEDIAN('converted2usd+IQR'!I63, 'converted2usd+IQR'!$O63, 'converted2usd+IQR'!$P63)</f>
        <v>0</v>
      </c>
      <c r="J63" s="20">
        <f>MEDIAN('converted2usd+IQR'!J63, 'converted2usd+IQR'!$O63, 'converted2usd+IQR'!$P63)</f>
        <v>0</v>
      </c>
      <c r="K63" s="20">
        <f>MEDIAN('converted2usd+IQR'!K63, 'converted2usd+IQR'!$O63, 'converted2usd+IQR'!$P63)</f>
        <v>0</v>
      </c>
    </row>
    <row r="64" spans="1:11">
      <c r="A64" s="6" t="s">
        <v>62</v>
      </c>
      <c r="B64" s="20">
        <f>MEDIAN('converted2usd+IQR'!B64, 'converted2usd+IQR'!$O64, 'converted2usd+IQR'!$P64)</f>
        <v>0</v>
      </c>
      <c r="C64" s="20">
        <f>MEDIAN('converted2usd+IQR'!C64, 'converted2usd+IQR'!$O64, 'converted2usd+IQR'!$P64)</f>
        <v>0</v>
      </c>
      <c r="D64" s="20">
        <f>MEDIAN('converted2usd+IQR'!D64, 'converted2usd+IQR'!$O64, 'converted2usd+IQR'!$P64)</f>
        <v>0</v>
      </c>
      <c r="E64" s="20">
        <f>MEDIAN('converted2usd+IQR'!E64, 'converted2usd+IQR'!$O64, 'converted2usd+IQR'!$P64)</f>
        <v>0</v>
      </c>
      <c r="F64" s="20">
        <f>MEDIAN('converted2usd+IQR'!F64, 'converted2usd+IQR'!$O64, 'converted2usd+IQR'!$P64)</f>
        <v>0</v>
      </c>
      <c r="G64" s="20">
        <f>MEDIAN('converted2usd+IQR'!G64, 'converted2usd+IQR'!$O64, 'converted2usd+IQR'!$P64)</f>
        <v>0</v>
      </c>
      <c r="H64" s="20">
        <f>MEDIAN('converted2usd+IQR'!H64, 'converted2usd+IQR'!$O64, 'converted2usd+IQR'!$P64)</f>
        <v>0</v>
      </c>
      <c r="I64" s="20">
        <f>MEDIAN('converted2usd+IQR'!I64, 'converted2usd+IQR'!$O64, 'converted2usd+IQR'!$P64)</f>
        <v>0</v>
      </c>
      <c r="J64" s="20">
        <f>MEDIAN('converted2usd+IQR'!J64, 'converted2usd+IQR'!$O64, 'converted2usd+IQR'!$P64)</f>
        <v>0</v>
      </c>
      <c r="K64" s="20">
        <f>MEDIAN('converted2usd+IQR'!K64, 'converted2usd+IQR'!$O64, 'converted2usd+IQR'!$P64)</f>
        <v>0</v>
      </c>
    </row>
    <row r="65" spans="1:11">
      <c r="A65" s="5" t="s">
        <v>63</v>
      </c>
      <c r="B65" s="20">
        <f>MEDIAN('converted2usd+IQR'!B65, 'converted2usd+IQR'!$O65, 'converted2usd+IQR'!$P65)</f>
        <v>1743.0972749655693</v>
      </c>
      <c r="C65" s="20">
        <f>MEDIAN('converted2usd+IQR'!C65, 'converted2usd+IQR'!$O65, 'converted2usd+IQR'!$P65)</f>
        <v>1531.2941722123376</v>
      </c>
      <c r="D65" s="20">
        <f>MEDIAN('converted2usd+IQR'!D65, 'converted2usd+IQR'!$O65, 'converted2usd+IQR'!$P65)</f>
        <v>2315.5835884843923</v>
      </c>
      <c r="E65" s="20">
        <f>MEDIAN('converted2usd+IQR'!E65, 'converted2usd+IQR'!$O65, 'converted2usd+IQR'!$P65)</f>
        <v>1682.4616839841865</v>
      </c>
      <c r="F65" s="20">
        <f>MEDIAN('converted2usd+IQR'!F65, 'converted2usd+IQR'!$O65, 'converted2usd+IQR'!$P65)</f>
        <v>2057.5335558189017</v>
      </c>
      <c r="G65" s="20">
        <f>MEDIAN('converted2usd+IQR'!G65, 'converted2usd+IQR'!$O65, 'converted2usd+IQR'!$P65)</f>
        <v>2985.4008936590767</v>
      </c>
      <c r="H65" s="20">
        <f>MEDIAN('converted2usd+IQR'!H65, 'converted2usd+IQR'!$O65, 'converted2usd+IQR'!$P65)</f>
        <v>1409.3821286726734</v>
      </c>
      <c r="I65" s="20">
        <f>MEDIAN('converted2usd+IQR'!I65, 'converted2usd+IQR'!$O65, 'converted2usd+IQR'!$P65)</f>
        <v>2726.1746387251605</v>
      </c>
      <c r="J65" s="20">
        <f>MEDIAN('converted2usd+IQR'!J65, 'converted2usd+IQR'!$O65, 'converted2usd+IQR'!$P65)</f>
        <v>2512.3294159650422</v>
      </c>
      <c r="K65" s="20">
        <f>MEDIAN('converted2usd+IQR'!K65, 'converted2usd+IQR'!$O65, 'converted2usd+IQR'!$P65)</f>
        <v>3035.9468310386706</v>
      </c>
    </row>
    <row r="66" spans="1:11">
      <c r="A66" s="6" t="s">
        <v>64</v>
      </c>
      <c r="B66" s="20">
        <f>MEDIAN('converted2usd+IQR'!B66, 'converted2usd+IQR'!$O66, 'converted2usd+IQR'!$P66)</f>
        <v>0</v>
      </c>
      <c r="C66" s="20">
        <f>MEDIAN('converted2usd+IQR'!C66, 'converted2usd+IQR'!$O66, 'converted2usd+IQR'!$P66)</f>
        <v>0</v>
      </c>
      <c r="D66" s="20">
        <f>MEDIAN('converted2usd+IQR'!D66, 'converted2usd+IQR'!$O66, 'converted2usd+IQR'!$P66)</f>
        <v>0</v>
      </c>
      <c r="E66" s="20">
        <f>MEDIAN('converted2usd+IQR'!E66, 'converted2usd+IQR'!$O66, 'converted2usd+IQR'!$P66)</f>
        <v>0</v>
      </c>
      <c r="F66" s="20">
        <f>MEDIAN('converted2usd+IQR'!F66, 'converted2usd+IQR'!$O66, 'converted2usd+IQR'!$P66)</f>
        <v>0</v>
      </c>
      <c r="G66" s="20">
        <f>MEDIAN('converted2usd+IQR'!G66, 'converted2usd+IQR'!$O66, 'converted2usd+IQR'!$P66)</f>
        <v>0</v>
      </c>
      <c r="H66" s="20">
        <f>MEDIAN('converted2usd+IQR'!H66, 'converted2usd+IQR'!$O66, 'converted2usd+IQR'!$P66)</f>
        <v>0</v>
      </c>
      <c r="I66" s="20">
        <f>MEDIAN('converted2usd+IQR'!I66, 'converted2usd+IQR'!$O66, 'converted2usd+IQR'!$P66)</f>
        <v>0</v>
      </c>
      <c r="J66" s="20">
        <f>MEDIAN('converted2usd+IQR'!J66, 'converted2usd+IQR'!$O66, 'converted2usd+IQR'!$P66)</f>
        <v>0</v>
      </c>
      <c r="K66" s="20">
        <f>MEDIAN('converted2usd+IQR'!K66, 'converted2usd+IQR'!$O66, 'converted2usd+IQR'!$P66)</f>
        <v>0</v>
      </c>
    </row>
    <row r="67" spans="1:11">
      <c r="A67" s="5" t="s">
        <v>65</v>
      </c>
      <c r="B67" s="20">
        <f>MEDIAN('converted2usd+IQR'!B67, 'converted2usd+IQR'!$O67, 'converted2usd+IQR'!$P67)</f>
        <v>167.79245980410249</v>
      </c>
      <c r="C67" s="20">
        <f>MEDIAN('converted2usd+IQR'!C67, 'converted2usd+IQR'!$O67, 'converted2usd+IQR'!$P67)</f>
        <v>12053.291373748543</v>
      </c>
      <c r="D67" s="20">
        <f>MEDIAN('converted2usd+IQR'!D67, 'converted2usd+IQR'!$O67, 'converted2usd+IQR'!$P67)</f>
        <v>2456.1946887321574</v>
      </c>
      <c r="E67" s="20">
        <f>MEDIAN('converted2usd+IQR'!E67, 'converted2usd+IQR'!$O67, 'converted2usd+IQR'!$P67)</f>
        <v>320.65327931967249</v>
      </c>
      <c r="F67" s="20">
        <f>MEDIAN('converted2usd+IQR'!F67, 'converted2usd+IQR'!$O67, 'converted2usd+IQR'!$P67)</f>
        <v>1275.1518129252331</v>
      </c>
      <c r="G67" s="20">
        <f>MEDIAN('converted2usd+IQR'!G67, 'converted2usd+IQR'!$O67, 'converted2usd+IQR'!$P67)</f>
        <v>266.62694097739399</v>
      </c>
      <c r="H67" s="20">
        <f>MEDIAN('converted2usd+IQR'!H67, 'converted2usd+IQR'!$O67, 'converted2usd+IQR'!$P67)</f>
        <v>279.29505963900817</v>
      </c>
      <c r="I67" s="20">
        <f>MEDIAN('converted2usd+IQR'!I67, 'converted2usd+IQR'!$O67, 'converted2usd+IQR'!$P67)</f>
        <v>3808.082854873282</v>
      </c>
      <c r="J67" s="20">
        <f>MEDIAN('converted2usd+IQR'!J67, 'converted2usd+IQR'!$O67, 'converted2usd+IQR'!$P67)</f>
        <v>3982.9537922712871</v>
      </c>
      <c r="K67" s="20">
        <f>MEDIAN('converted2usd+IQR'!K67, 'converted2usd+IQR'!$O67, 'converted2usd+IQR'!$P67)</f>
        <v>3900.1913648166123</v>
      </c>
    </row>
    <row r="68" spans="1:11">
      <c r="A68" s="6" t="s">
        <v>66</v>
      </c>
      <c r="B68" s="20">
        <f>MEDIAN('converted2usd+IQR'!B68, 'converted2usd+IQR'!$O68, 'converted2usd+IQR'!$P68)</f>
        <v>0</v>
      </c>
      <c r="C68" s="20">
        <f>MEDIAN('converted2usd+IQR'!C68, 'converted2usd+IQR'!$O68, 'converted2usd+IQR'!$P68)</f>
        <v>0</v>
      </c>
      <c r="D68" s="20">
        <f>MEDIAN('converted2usd+IQR'!D68, 'converted2usd+IQR'!$O68, 'converted2usd+IQR'!$P68)</f>
        <v>6.2853055253718981</v>
      </c>
      <c r="E68" s="20">
        <f>MEDIAN('converted2usd+IQR'!E68, 'converted2usd+IQR'!$O68, 'converted2usd+IQR'!$P68)</f>
        <v>0</v>
      </c>
      <c r="F68" s="20">
        <f>MEDIAN('converted2usd+IQR'!F68, 'converted2usd+IQR'!$O68, 'converted2usd+IQR'!$P68)</f>
        <v>0</v>
      </c>
      <c r="G68" s="20">
        <f>MEDIAN('converted2usd+IQR'!G68, 'converted2usd+IQR'!$O68, 'converted2usd+IQR'!$P68)</f>
        <v>3.1792245381776016</v>
      </c>
      <c r="H68" s="20">
        <f>MEDIAN('converted2usd+IQR'!H68, 'converted2usd+IQR'!$O68, 'converted2usd+IQR'!$P68)</f>
        <v>0</v>
      </c>
      <c r="I68" s="20">
        <f>MEDIAN('converted2usd+IQR'!I68, 'converted2usd+IQR'!$O68, 'converted2usd+IQR'!$P68)</f>
        <v>2.4331747287222387</v>
      </c>
      <c r="J68" s="20">
        <f>MEDIAN('converted2usd+IQR'!J68, 'converted2usd+IQR'!$O68, 'converted2usd+IQR'!$P68)</f>
        <v>8.2814536080139671</v>
      </c>
      <c r="K68" s="20">
        <f>MEDIAN('converted2usd+IQR'!K68, 'converted2usd+IQR'!$O68, 'converted2usd+IQR'!$P68)</f>
        <v>7.0197182100787829</v>
      </c>
    </row>
    <row r="69" spans="1:11">
      <c r="A69" s="5" t="s">
        <v>67</v>
      </c>
      <c r="B69" s="20">
        <f>MEDIAN('converted2usd+IQR'!B69, 'converted2usd+IQR'!$O69, 'converted2usd+IQR'!$P69)</f>
        <v>9396.2800537733619</v>
      </c>
      <c r="C69" s="20">
        <f>MEDIAN('converted2usd+IQR'!C69, 'converted2usd+IQR'!$O69, 'converted2usd+IQR'!$P69)</f>
        <v>11901.785779426767</v>
      </c>
      <c r="D69" s="20">
        <f>MEDIAN('converted2usd+IQR'!D69, 'converted2usd+IQR'!$O69, 'converted2usd+IQR'!$P69)</f>
        <v>14246.77031947294</v>
      </c>
      <c r="E69" s="20">
        <f>MEDIAN('converted2usd+IQR'!E69, 'converted2usd+IQR'!$O69, 'converted2usd+IQR'!$P69)</f>
        <v>14153.060821010069</v>
      </c>
      <c r="F69" s="20">
        <f>MEDIAN('converted2usd+IQR'!F69, 'converted2usd+IQR'!$O69, 'converted2usd+IQR'!$P69)</f>
        <v>9844.9505792359141</v>
      </c>
      <c r="G69" s="20">
        <f>MEDIAN('converted2usd+IQR'!G69, 'converted2usd+IQR'!$O69, 'converted2usd+IQR'!$P69)</f>
        <v>9587.1744268221646</v>
      </c>
      <c r="H69" s="20">
        <f>MEDIAN('converted2usd+IQR'!H69, 'converted2usd+IQR'!$O69, 'converted2usd+IQR'!$P69)</f>
        <v>7952.2560206250128</v>
      </c>
      <c r="I69" s="20">
        <f>MEDIAN('converted2usd+IQR'!I69, 'converted2usd+IQR'!$O69, 'converted2usd+IQR'!$P69)</f>
        <v>24850.825868331831</v>
      </c>
      <c r="J69" s="20">
        <f>MEDIAN('converted2usd+IQR'!J69, 'converted2usd+IQR'!$O69, 'converted2usd+IQR'!$P69)</f>
        <v>13316.380003537433</v>
      </c>
      <c r="K69" s="20">
        <f>MEDIAN('converted2usd+IQR'!K69, 'converted2usd+IQR'!$O69, 'converted2usd+IQR'!$P69)</f>
        <v>27938.516384652081</v>
      </c>
    </row>
    <row r="70" spans="1:11">
      <c r="A70" s="6" t="s">
        <v>68</v>
      </c>
      <c r="B70" s="20">
        <f>MEDIAN('converted2usd+IQR'!B70, 'converted2usd+IQR'!$O70, 'converted2usd+IQR'!$P70)</f>
        <v>0</v>
      </c>
      <c r="C70" s="20">
        <f>MEDIAN('converted2usd+IQR'!C70, 'converted2usd+IQR'!$O70, 'converted2usd+IQR'!$P70)</f>
        <v>0</v>
      </c>
      <c r="D70" s="20">
        <f>MEDIAN('converted2usd+IQR'!D70, 'converted2usd+IQR'!$O70, 'converted2usd+IQR'!$P70)</f>
        <v>0</v>
      </c>
      <c r="E70" s="20">
        <f>MEDIAN('converted2usd+IQR'!E70, 'converted2usd+IQR'!$O70, 'converted2usd+IQR'!$P70)</f>
        <v>780.07131921248356</v>
      </c>
      <c r="F70" s="20">
        <f>MEDIAN('converted2usd+IQR'!F70, 'converted2usd+IQR'!$O70, 'converted2usd+IQR'!$P70)</f>
        <v>841.26679737564223</v>
      </c>
      <c r="G70" s="20">
        <f>MEDIAN('converted2usd+IQR'!G70, 'converted2usd+IQR'!$O70, 'converted2usd+IQR'!$P70)</f>
        <v>999.67851360901477</v>
      </c>
      <c r="H70" s="20">
        <f>MEDIAN('converted2usd+IQR'!H70, 'converted2usd+IQR'!$O70, 'converted2usd+IQR'!$P70)</f>
        <v>1531.9491193146478</v>
      </c>
      <c r="I70" s="20">
        <f>MEDIAN('converted2usd+IQR'!I70, 'converted2usd+IQR'!$O70, 'converted2usd+IQR'!$P70)</f>
        <v>1856.3625618974006</v>
      </c>
      <c r="J70" s="20">
        <f>MEDIAN('converted2usd+IQR'!J70, 'converted2usd+IQR'!$O70, 'converted2usd+IQR'!$P70)</f>
        <v>2310.3725377530504</v>
      </c>
      <c r="K70" s="20">
        <f>MEDIAN('converted2usd+IQR'!K70, 'converted2usd+IQR'!$O70, 'converted2usd+IQR'!$P70)</f>
        <v>2164.4596235291065</v>
      </c>
    </row>
    <row r="71" spans="1:11">
      <c r="A71" s="7" t="s">
        <v>69</v>
      </c>
      <c r="B71" s="20">
        <f>MEDIAN('converted2usd+IQR'!B71, 'converted2usd+IQR'!$O71, 'converted2usd+IQR'!$P71)</f>
        <v>9396.2800537733619</v>
      </c>
      <c r="C71" s="20">
        <f>MEDIAN('converted2usd+IQR'!C71, 'converted2usd+IQR'!$O71, 'converted2usd+IQR'!$P71)</f>
        <v>11901.785779426767</v>
      </c>
      <c r="D71" s="20">
        <f>MEDIAN('converted2usd+IQR'!D71, 'converted2usd+IQR'!$O71, 'converted2usd+IQR'!$P71)</f>
        <v>14246.77031947294</v>
      </c>
      <c r="E71" s="20">
        <f>MEDIAN('converted2usd+IQR'!E71, 'converted2usd+IQR'!$O71, 'converted2usd+IQR'!$P71)</f>
        <v>13372.989501797587</v>
      </c>
      <c r="F71" s="20">
        <f>MEDIAN('converted2usd+IQR'!F71, 'converted2usd+IQR'!$O71, 'converted2usd+IQR'!$P71)</f>
        <v>9003.6837818602726</v>
      </c>
      <c r="G71" s="20">
        <f>MEDIAN('converted2usd+IQR'!G71, 'converted2usd+IQR'!$O71, 'converted2usd+IQR'!$P71)</f>
        <v>8587.4959132131498</v>
      </c>
      <c r="H71" s="20">
        <f>MEDIAN('converted2usd+IQR'!H71, 'converted2usd+IQR'!$O71, 'converted2usd+IQR'!$P71)</f>
        <v>6420.306901310365</v>
      </c>
      <c r="I71" s="20">
        <f>MEDIAN('converted2usd+IQR'!I71, 'converted2usd+IQR'!$O71, 'converted2usd+IQR'!$P71)</f>
        <v>22994.463306434431</v>
      </c>
      <c r="J71" s="20">
        <f>MEDIAN('converted2usd+IQR'!J71, 'converted2usd+IQR'!$O71, 'converted2usd+IQR'!$P71)</f>
        <v>11006.007465784383</v>
      </c>
      <c r="K71" s="20">
        <f>MEDIAN('converted2usd+IQR'!K71, 'converted2usd+IQR'!$O71, 'converted2usd+IQR'!$P71)</f>
        <v>27986.898358749495</v>
      </c>
    </row>
    <row r="72" spans="1:11">
      <c r="A72" s="6" t="s">
        <v>70</v>
      </c>
      <c r="B72" s="20">
        <f>MEDIAN('converted2usd+IQR'!B72, 'converted2usd+IQR'!$O72, 'converted2usd+IQR'!$P72)</f>
        <v>0</v>
      </c>
      <c r="C72" s="20">
        <f>MEDIAN('converted2usd+IQR'!C72, 'converted2usd+IQR'!$O72, 'converted2usd+IQR'!$P72)</f>
        <v>0</v>
      </c>
      <c r="D72" s="20">
        <f>MEDIAN('converted2usd+IQR'!D72, 'converted2usd+IQR'!$O72, 'converted2usd+IQR'!$P72)</f>
        <v>0</v>
      </c>
      <c r="E72" s="20">
        <f>MEDIAN('converted2usd+IQR'!E72, 'converted2usd+IQR'!$O72, 'converted2usd+IQR'!$P72)</f>
        <v>0</v>
      </c>
      <c r="F72" s="20">
        <f>MEDIAN('converted2usd+IQR'!F72, 'converted2usd+IQR'!$O72, 'converted2usd+IQR'!$P72)</f>
        <v>0</v>
      </c>
      <c r="G72" s="20">
        <f>MEDIAN('converted2usd+IQR'!G72, 'converted2usd+IQR'!$O72, 'converted2usd+IQR'!$P72)</f>
        <v>0</v>
      </c>
      <c r="H72" s="20">
        <f>MEDIAN('converted2usd+IQR'!H72, 'converted2usd+IQR'!$O72, 'converted2usd+IQR'!$P72)</f>
        <v>0</v>
      </c>
      <c r="I72" s="20">
        <f>MEDIAN('converted2usd+IQR'!I72, 'converted2usd+IQR'!$O72, 'converted2usd+IQR'!$P72)</f>
        <v>0</v>
      </c>
      <c r="J72" s="20">
        <f>MEDIAN('converted2usd+IQR'!J72, 'converted2usd+IQR'!$O72, 'converted2usd+IQR'!$P72)</f>
        <v>0</v>
      </c>
      <c r="K72" s="20">
        <f>MEDIAN('converted2usd+IQR'!K72, 'converted2usd+IQR'!$O72, 'converted2usd+IQR'!$P72)</f>
        <v>0</v>
      </c>
    </row>
    <row r="73" spans="1:11">
      <c r="A73" s="5" t="s">
        <v>71</v>
      </c>
      <c r="B73" s="20">
        <f>MEDIAN('converted2usd+IQR'!B73, 'converted2usd+IQR'!$O73, 'converted2usd+IQR'!$P73)</f>
        <v>0</v>
      </c>
      <c r="C73" s="20">
        <f>MEDIAN('converted2usd+IQR'!C73, 'converted2usd+IQR'!$O73, 'converted2usd+IQR'!$P73)</f>
        <v>10325.468312739964</v>
      </c>
      <c r="D73" s="20">
        <f>MEDIAN('converted2usd+IQR'!D73, 'converted2usd+IQR'!$O73, 'converted2usd+IQR'!$P73)</f>
        <v>16663.179471249237</v>
      </c>
      <c r="E73" s="20">
        <f>MEDIAN('converted2usd+IQR'!E73, 'converted2usd+IQR'!$O73, 'converted2usd+IQR'!$P73)</f>
        <v>2776.0094805103945</v>
      </c>
      <c r="F73" s="20">
        <f>MEDIAN('converted2usd+IQR'!F73, 'converted2usd+IQR'!$O73, 'converted2usd+IQR'!$P73)</f>
        <v>3345.7769890942463</v>
      </c>
      <c r="G73" s="20">
        <f>MEDIAN('converted2usd+IQR'!G73, 'converted2usd+IQR'!$O73, 'converted2usd+IQR'!$P73)</f>
        <v>11074.540182279428</v>
      </c>
      <c r="H73" s="20">
        <f>MEDIAN('converted2usd+IQR'!H73, 'converted2usd+IQR'!$O73, 'converted2usd+IQR'!$P73)</f>
        <v>1174.3211816346356</v>
      </c>
      <c r="I73" s="20">
        <f>MEDIAN('converted2usd+IQR'!I73, 'converted2usd+IQR'!$O73, 'converted2usd+IQR'!$P73)</f>
        <v>8880.6484716472278</v>
      </c>
      <c r="J73" s="20">
        <f>MEDIAN('converted2usd+IQR'!J73, 'converted2usd+IQR'!$O73, 'converted2usd+IQR'!$P73)</f>
        <v>9689.3228076415762</v>
      </c>
      <c r="K73" s="20">
        <f>MEDIAN('converted2usd+IQR'!K73, 'converted2usd+IQR'!$O73, 'converted2usd+IQR'!$P73)</f>
        <v>34793.734786609173</v>
      </c>
    </row>
    <row r="74" spans="1:11">
      <c r="A74" s="6" t="s">
        <v>72</v>
      </c>
      <c r="B74" s="20">
        <f>MEDIAN('converted2usd+IQR'!B74, 'converted2usd+IQR'!$O74, 'converted2usd+IQR'!$P74)</f>
        <v>0</v>
      </c>
      <c r="C74" s="20">
        <f>MEDIAN('converted2usd+IQR'!C74, 'converted2usd+IQR'!$O74, 'converted2usd+IQR'!$P74)</f>
        <v>0</v>
      </c>
      <c r="D74" s="20">
        <f>MEDIAN('converted2usd+IQR'!D74, 'converted2usd+IQR'!$O74, 'converted2usd+IQR'!$P74)</f>
        <v>64.546792274428896</v>
      </c>
      <c r="E74" s="20">
        <f>MEDIAN('converted2usd+IQR'!E74, 'converted2usd+IQR'!$O74, 'converted2usd+IQR'!$P74)</f>
        <v>0</v>
      </c>
      <c r="F74" s="20">
        <f>MEDIAN('converted2usd+IQR'!F74, 'converted2usd+IQR'!$O74, 'converted2usd+IQR'!$P74)</f>
        <v>0</v>
      </c>
      <c r="G74" s="20">
        <f>MEDIAN('converted2usd+IQR'!G74, 'converted2usd+IQR'!$O74, 'converted2usd+IQR'!$P74)</f>
        <v>0</v>
      </c>
      <c r="H74" s="20">
        <f>MEDIAN('converted2usd+IQR'!H74, 'converted2usd+IQR'!$O74, 'converted2usd+IQR'!$P74)</f>
        <v>0</v>
      </c>
      <c r="I74" s="20">
        <f>MEDIAN('converted2usd+IQR'!I74, 'converted2usd+IQR'!$O74, 'converted2usd+IQR'!$P74)</f>
        <v>193.64037682328669</v>
      </c>
      <c r="J74" s="20">
        <f>MEDIAN('converted2usd+IQR'!J74, 'converted2usd+IQR'!$O74, 'converted2usd+IQR'!$P74)</f>
        <v>0</v>
      </c>
      <c r="K74" s="20">
        <f>MEDIAN('converted2usd+IQR'!K74, 'converted2usd+IQR'!$O74, 'converted2usd+IQR'!$P74)</f>
        <v>193.64037682328669</v>
      </c>
    </row>
    <row r="75" spans="1:11">
      <c r="A75" s="5" t="s">
        <v>73</v>
      </c>
      <c r="B75" s="20">
        <f>MEDIAN('converted2usd+IQR'!B75, 'converted2usd+IQR'!$O75, 'converted2usd+IQR'!$P75)</f>
        <v>17016.272497481208</v>
      </c>
      <c r="C75" s="20">
        <f>MEDIAN('converted2usd+IQR'!C75, 'converted2usd+IQR'!$O75, 'converted2usd+IQR'!$P75)</f>
        <v>7409.7425882401403</v>
      </c>
      <c r="D75" s="20">
        <f>MEDIAN('converted2usd+IQR'!D75, 'converted2usd+IQR'!$O75, 'converted2usd+IQR'!$P75)</f>
        <v>4886.0024776675282</v>
      </c>
      <c r="E75" s="20">
        <f>MEDIAN('converted2usd+IQR'!E75, 'converted2usd+IQR'!$O75, 'converted2usd+IQR'!$P75)</f>
        <v>16094.624073173341</v>
      </c>
      <c r="F75" s="20">
        <f>MEDIAN('converted2usd+IQR'!F75, 'converted2usd+IQR'!$O75, 'converted2usd+IQR'!$P75)</f>
        <v>15926.24462927801</v>
      </c>
      <c r="G75" s="20">
        <f>MEDIAN('converted2usd+IQR'!G75, 'converted2usd+IQR'!$O75, 'converted2usd+IQR'!$P75)</f>
        <v>27123.806897561459</v>
      </c>
      <c r="H75" s="20">
        <f>MEDIAN('converted2usd+IQR'!H75, 'converted2usd+IQR'!$O75, 'converted2usd+IQR'!$P75)</f>
        <v>15715.141909798025</v>
      </c>
      <c r="I75" s="20">
        <f>MEDIAN('converted2usd+IQR'!I75, 'converted2usd+IQR'!$O75, 'converted2usd+IQR'!$P75)</f>
        <v>37172.108480383809</v>
      </c>
      <c r="J75" s="20">
        <f>MEDIAN('converted2usd+IQR'!J75, 'converted2usd+IQR'!$O75, 'converted2usd+IQR'!$P75)</f>
        <v>28335.045324343628</v>
      </c>
      <c r="K75" s="20">
        <f>MEDIAN('converted2usd+IQR'!K75, 'converted2usd+IQR'!$O75, 'converted2usd+IQR'!$P75)</f>
        <v>64825.19010158829</v>
      </c>
    </row>
    <row r="76" spans="1:11">
      <c r="A76" s="6" t="s">
        <v>75</v>
      </c>
      <c r="B76" s="20">
        <f>MEDIAN('converted2usd+IQR'!B76, 'converted2usd+IQR'!$O76, 'converted2usd+IQR'!$P76)</f>
        <v>3770.6941057940458</v>
      </c>
      <c r="C76" s="20">
        <f>MEDIAN('converted2usd+IQR'!C76, 'converted2usd+IQR'!$O76, 'converted2usd+IQR'!$P76)</f>
        <v>28662.105049220427</v>
      </c>
      <c r="D76" s="20">
        <f>MEDIAN('converted2usd+IQR'!D76, 'converted2usd+IQR'!$O76, 'converted2usd+IQR'!$P76)</f>
        <v>28588.472038988948</v>
      </c>
      <c r="E76" s="20">
        <f>MEDIAN('converted2usd+IQR'!E76, 'converted2usd+IQR'!$O76, 'converted2usd+IQR'!$P76)</f>
        <v>20730.763915188774</v>
      </c>
      <c r="F76" s="20">
        <f>MEDIAN('converted2usd+IQR'!F76, 'converted2usd+IQR'!$O76, 'converted2usd+IQR'!$P76)</f>
        <v>18843.272251023445</v>
      </c>
      <c r="G76" s="20">
        <f>MEDIAN('converted2usd+IQR'!G76, 'converted2usd+IQR'!$O76, 'converted2usd+IQR'!$P76)</f>
        <v>14246.738876422218</v>
      </c>
      <c r="H76" s="20">
        <f>MEDIAN('converted2usd+IQR'!H76, 'converted2usd+IQR'!$O76, 'converted2usd+IQR'!$P76)</f>
        <v>18479.504405194199</v>
      </c>
      <c r="I76" s="20">
        <f>MEDIAN('converted2usd+IQR'!I76, 'converted2usd+IQR'!$O76, 'converted2usd+IQR'!$P76)</f>
        <v>16901.89074354434</v>
      </c>
      <c r="J76" s="20">
        <f>MEDIAN('converted2usd+IQR'!J76, 'converted2usd+IQR'!$O76, 'converted2usd+IQR'!$P76)</f>
        <v>10853.624881003872</v>
      </c>
      <c r="K76" s="20">
        <f>MEDIAN('converted2usd+IQR'!K76, 'converted2usd+IQR'!$O76, 'converted2usd+IQR'!$P76)</f>
        <v>28650.156970302975</v>
      </c>
    </row>
    <row r="77" spans="1:11">
      <c r="A77" s="5" t="s">
        <v>76</v>
      </c>
      <c r="B77" s="20">
        <f>MEDIAN('converted2usd+IQR'!B77, 'converted2usd+IQR'!$O77, 'converted2usd+IQR'!$P77)</f>
        <v>0</v>
      </c>
      <c r="C77" s="20">
        <f>MEDIAN('converted2usd+IQR'!C77, 'converted2usd+IQR'!$O77, 'converted2usd+IQR'!$P77)</f>
        <v>0</v>
      </c>
      <c r="D77" s="20">
        <f>MEDIAN('converted2usd+IQR'!D77, 'converted2usd+IQR'!$O77, 'converted2usd+IQR'!$P77)</f>
        <v>0</v>
      </c>
      <c r="E77" s="20">
        <f>MEDIAN('converted2usd+IQR'!E77, 'converted2usd+IQR'!$O77, 'converted2usd+IQR'!$P77)</f>
        <v>0</v>
      </c>
      <c r="F77" s="20">
        <f>MEDIAN('converted2usd+IQR'!F77, 'converted2usd+IQR'!$O77, 'converted2usd+IQR'!$P77)</f>
        <v>0</v>
      </c>
      <c r="G77" s="20">
        <f>MEDIAN('converted2usd+IQR'!G77, 'converted2usd+IQR'!$O77, 'converted2usd+IQR'!$P77)</f>
        <v>0</v>
      </c>
      <c r="H77" s="20">
        <f>MEDIAN('converted2usd+IQR'!H77, 'converted2usd+IQR'!$O77, 'converted2usd+IQR'!$P77)</f>
        <v>0</v>
      </c>
      <c r="I77" s="20">
        <f>MEDIAN('converted2usd+IQR'!I77, 'converted2usd+IQR'!$O77, 'converted2usd+IQR'!$P77)</f>
        <v>0</v>
      </c>
      <c r="J77" s="20">
        <f>MEDIAN('converted2usd+IQR'!J77, 'converted2usd+IQR'!$O77, 'converted2usd+IQR'!$P77)</f>
        <v>0</v>
      </c>
      <c r="K77" s="20">
        <f>MEDIAN('converted2usd+IQR'!K77, 'converted2usd+IQR'!$O77, 'converted2usd+IQR'!$P77)</f>
        <v>0</v>
      </c>
    </row>
    <row r="78" spans="1:11">
      <c r="A78" s="6" t="s">
        <v>77</v>
      </c>
      <c r="B78" s="20">
        <f>MEDIAN('converted2usd+IQR'!B78, 'converted2usd+IQR'!$O78, 'converted2usd+IQR'!$P78)</f>
        <v>0</v>
      </c>
      <c r="C78" s="20">
        <f>MEDIAN('converted2usd+IQR'!C78, 'converted2usd+IQR'!$O78, 'converted2usd+IQR'!$P78)</f>
        <v>0</v>
      </c>
      <c r="D78" s="20">
        <f>MEDIAN('converted2usd+IQR'!D78, 'converted2usd+IQR'!$O78, 'converted2usd+IQR'!$P78)</f>
        <v>0</v>
      </c>
      <c r="E78" s="20">
        <f>MEDIAN('converted2usd+IQR'!E78, 'converted2usd+IQR'!$O78, 'converted2usd+IQR'!$P78)</f>
        <v>0</v>
      </c>
      <c r="F78" s="20">
        <f>MEDIAN('converted2usd+IQR'!F78, 'converted2usd+IQR'!$O78, 'converted2usd+IQR'!$P78)</f>
        <v>0</v>
      </c>
      <c r="G78" s="20">
        <f>MEDIAN('converted2usd+IQR'!G78, 'converted2usd+IQR'!$O78, 'converted2usd+IQR'!$P78)</f>
        <v>0</v>
      </c>
      <c r="H78" s="20">
        <f>MEDIAN('converted2usd+IQR'!H78, 'converted2usd+IQR'!$O78, 'converted2usd+IQR'!$P78)</f>
        <v>0</v>
      </c>
      <c r="I78" s="20">
        <f>MEDIAN('converted2usd+IQR'!I78, 'converted2usd+IQR'!$O78, 'converted2usd+IQR'!$P78)</f>
        <v>0</v>
      </c>
      <c r="J78" s="20">
        <f>MEDIAN('converted2usd+IQR'!J78, 'converted2usd+IQR'!$O78, 'converted2usd+IQR'!$P78)</f>
        <v>0</v>
      </c>
      <c r="K78" s="20">
        <f>MEDIAN('converted2usd+IQR'!K78, 'converted2usd+IQR'!$O78, 'converted2usd+IQR'!$P78)</f>
        <v>0</v>
      </c>
    </row>
    <row r="79" spans="1:11">
      <c r="A79" s="5" t="s">
        <v>78</v>
      </c>
      <c r="B79" s="20">
        <f>MEDIAN('converted2usd+IQR'!B79, 'converted2usd+IQR'!$O79, 'converted2usd+IQR'!$P79)</f>
        <v>0</v>
      </c>
      <c r="C79" s="20">
        <f>MEDIAN('converted2usd+IQR'!C79, 'converted2usd+IQR'!$O79, 'converted2usd+IQR'!$P79)</f>
        <v>0</v>
      </c>
      <c r="D79" s="20">
        <f>MEDIAN('converted2usd+IQR'!D79, 'converted2usd+IQR'!$O79, 'converted2usd+IQR'!$P79)</f>
        <v>0</v>
      </c>
      <c r="E79" s="20">
        <f>MEDIAN('converted2usd+IQR'!E79, 'converted2usd+IQR'!$O79, 'converted2usd+IQR'!$P79)</f>
        <v>0</v>
      </c>
      <c r="F79" s="20">
        <f>MEDIAN('converted2usd+IQR'!F79, 'converted2usd+IQR'!$O79, 'converted2usd+IQR'!$P79)</f>
        <v>0</v>
      </c>
      <c r="G79" s="20">
        <f>MEDIAN('converted2usd+IQR'!G79, 'converted2usd+IQR'!$O79, 'converted2usd+IQR'!$P79)</f>
        <v>0</v>
      </c>
      <c r="H79" s="20">
        <f>MEDIAN('converted2usd+IQR'!H79, 'converted2usd+IQR'!$O79, 'converted2usd+IQR'!$P79)</f>
        <v>0</v>
      </c>
      <c r="I79" s="20">
        <f>MEDIAN('converted2usd+IQR'!I79, 'converted2usd+IQR'!$O79, 'converted2usd+IQR'!$P79)</f>
        <v>0</v>
      </c>
      <c r="J79" s="20">
        <f>MEDIAN('converted2usd+IQR'!J79, 'converted2usd+IQR'!$O79, 'converted2usd+IQR'!$P79)</f>
        <v>0</v>
      </c>
      <c r="K79" s="20">
        <f>MEDIAN('converted2usd+IQR'!K79, 'converted2usd+IQR'!$O79, 'converted2usd+IQR'!$P79)</f>
        <v>0</v>
      </c>
    </row>
    <row r="80" spans="1:11">
      <c r="A80" s="6" t="s">
        <v>79</v>
      </c>
      <c r="B80" s="20">
        <f>MEDIAN('converted2usd+IQR'!B80, 'converted2usd+IQR'!$O80, 'converted2usd+IQR'!$P80)</f>
        <v>5015.8414013270385</v>
      </c>
      <c r="C80" s="20">
        <f>MEDIAN('converted2usd+IQR'!C80, 'converted2usd+IQR'!$O80, 'converted2usd+IQR'!$P80)</f>
        <v>4131.7032065078283</v>
      </c>
      <c r="D80" s="20">
        <f>MEDIAN('converted2usd+IQR'!D80, 'converted2usd+IQR'!$O80, 'converted2usd+IQR'!$P80)</f>
        <v>2729.2988027494166</v>
      </c>
      <c r="E80" s="20">
        <f>MEDIAN('converted2usd+IQR'!E80, 'converted2usd+IQR'!$O80, 'converted2usd+IQR'!$P80)</f>
        <v>2050.4073011776186</v>
      </c>
      <c r="F80" s="20">
        <f>MEDIAN('converted2usd+IQR'!F80, 'converted2usd+IQR'!$O80, 'converted2usd+IQR'!$P80)</f>
        <v>2669.3002605354791</v>
      </c>
      <c r="G80" s="20">
        <f>MEDIAN('converted2usd+IQR'!G80, 'converted2usd+IQR'!$O80, 'converted2usd+IQR'!$P80)</f>
        <v>2440.4358038004457</v>
      </c>
      <c r="H80" s="20">
        <f>MEDIAN('converted2usd+IQR'!H80, 'converted2usd+IQR'!$O80, 'converted2usd+IQR'!$P80)</f>
        <v>661.23671323074802</v>
      </c>
      <c r="I80" s="20">
        <f>MEDIAN('converted2usd+IQR'!I80, 'converted2usd+IQR'!$O80, 'converted2usd+IQR'!$P80)</f>
        <v>6099.5411319584618</v>
      </c>
      <c r="J80" s="20">
        <f>MEDIAN('converted2usd+IQR'!J80, 'converted2usd+IQR'!$O80, 'converted2usd+IQR'!$P80)</f>
        <v>14816.519451697464</v>
      </c>
      <c r="K80" s="20">
        <f>MEDIAN('converted2usd+IQR'!K80, 'converted2usd+IQR'!$O80, 'converted2usd+IQR'!$P80)</f>
        <v>15821.509043249813</v>
      </c>
    </row>
    <row r="81" spans="1:11">
      <c r="A81" s="5" t="s">
        <v>80</v>
      </c>
      <c r="B81" s="20">
        <f>MEDIAN('converted2usd+IQR'!B81, 'converted2usd+IQR'!$O81, 'converted2usd+IQR'!$P81)</f>
        <v>0</v>
      </c>
      <c r="C81" s="20">
        <f>MEDIAN('converted2usd+IQR'!C81, 'converted2usd+IQR'!$O81, 'converted2usd+IQR'!$P81)</f>
        <v>0</v>
      </c>
      <c r="D81" s="20">
        <f>MEDIAN('converted2usd+IQR'!D81, 'converted2usd+IQR'!$O81, 'converted2usd+IQR'!$P81)</f>
        <v>0</v>
      </c>
      <c r="E81" s="20">
        <f>MEDIAN('converted2usd+IQR'!E81, 'converted2usd+IQR'!$O81, 'converted2usd+IQR'!$P81)</f>
        <v>0</v>
      </c>
      <c r="F81" s="20">
        <f>MEDIAN('converted2usd+IQR'!F81, 'converted2usd+IQR'!$O81, 'converted2usd+IQR'!$P81)</f>
        <v>0</v>
      </c>
      <c r="G81" s="20">
        <f>MEDIAN('converted2usd+IQR'!G81, 'converted2usd+IQR'!$O81, 'converted2usd+IQR'!$P81)</f>
        <v>0</v>
      </c>
      <c r="H81" s="20">
        <f>MEDIAN('converted2usd+IQR'!H81, 'converted2usd+IQR'!$O81, 'converted2usd+IQR'!$P81)</f>
        <v>0</v>
      </c>
      <c r="I81" s="20">
        <f>MEDIAN('converted2usd+IQR'!I81, 'converted2usd+IQR'!$O81, 'converted2usd+IQR'!$P81)</f>
        <v>0</v>
      </c>
      <c r="J81" s="20">
        <f>MEDIAN('converted2usd+IQR'!J81, 'converted2usd+IQR'!$O81, 'converted2usd+IQR'!$P81)</f>
        <v>0</v>
      </c>
      <c r="K81" s="20">
        <f>MEDIAN('converted2usd+IQR'!K81, 'converted2usd+IQR'!$O81, 'converted2usd+IQR'!$P81)</f>
        <v>0</v>
      </c>
    </row>
    <row r="82" spans="1:11">
      <c r="A82" s="7" t="s">
        <v>81</v>
      </c>
      <c r="B82" s="20">
        <f>MEDIAN('converted2usd+IQR'!B82, 'converted2usd+IQR'!$O82, 'converted2usd+IQR'!$P82)</f>
        <v>8786.5355071210852</v>
      </c>
      <c r="C82" s="20">
        <f>MEDIAN('converted2usd+IQR'!C82, 'converted2usd+IQR'!$O82, 'converted2usd+IQR'!$P82)</f>
        <v>32793.808255728254</v>
      </c>
      <c r="D82" s="20">
        <f>MEDIAN('converted2usd+IQR'!D82, 'converted2usd+IQR'!$O82, 'converted2usd+IQR'!$P82)</f>
        <v>31317.770841738362</v>
      </c>
      <c r="E82" s="20">
        <f>MEDIAN('converted2usd+IQR'!E82, 'converted2usd+IQR'!$O82, 'converted2usd+IQR'!$P82)</f>
        <v>22781.171216366394</v>
      </c>
      <c r="F82" s="20">
        <f>MEDIAN('converted2usd+IQR'!F82, 'converted2usd+IQR'!$O82, 'converted2usd+IQR'!$P82)</f>
        <v>21512.572511558927</v>
      </c>
      <c r="G82" s="20">
        <f>MEDIAN('converted2usd+IQR'!G82, 'converted2usd+IQR'!$O82, 'converted2usd+IQR'!$P82)</f>
        <v>16687.174680222663</v>
      </c>
      <c r="H82" s="20">
        <f>MEDIAN('converted2usd+IQR'!H82, 'converted2usd+IQR'!$O82, 'converted2usd+IQR'!$P82)</f>
        <v>19140.741118424947</v>
      </c>
      <c r="I82" s="20">
        <f>MEDIAN('converted2usd+IQR'!I82, 'converted2usd+IQR'!$O82, 'converted2usd+IQR'!$P82)</f>
        <v>23001.431875502803</v>
      </c>
      <c r="J82" s="20">
        <f>MEDIAN('converted2usd+IQR'!J82, 'converted2usd+IQR'!$O82, 'converted2usd+IQR'!$P82)</f>
        <v>25670.144332701337</v>
      </c>
      <c r="K82" s="20">
        <f>MEDIAN('converted2usd+IQR'!K82, 'converted2usd+IQR'!$O82, 'converted2usd+IQR'!$P82)</f>
        <v>60422.359957791094</v>
      </c>
    </row>
    <row r="83" spans="1:11">
      <c r="A83" s="5" t="s">
        <v>82</v>
      </c>
      <c r="B83" s="20">
        <f>MEDIAN('converted2usd+IQR'!B83, 'converted2usd+IQR'!$O83, 'converted2usd+IQR'!$P83)</f>
        <v>0</v>
      </c>
      <c r="C83" s="20">
        <f>MEDIAN('converted2usd+IQR'!C83, 'converted2usd+IQR'!$O83, 'converted2usd+IQR'!$P83)</f>
        <v>0</v>
      </c>
      <c r="D83" s="20">
        <f>MEDIAN('converted2usd+IQR'!D83, 'converted2usd+IQR'!$O83, 'converted2usd+IQR'!$P83)</f>
        <v>0</v>
      </c>
      <c r="E83" s="20">
        <f>MEDIAN('converted2usd+IQR'!E83, 'converted2usd+IQR'!$O83, 'converted2usd+IQR'!$P83)</f>
        <v>0</v>
      </c>
      <c r="F83" s="20">
        <f>MEDIAN('converted2usd+IQR'!F83, 'converted2usd+IQR'!$O83, 'converted2usd+IQR'!$P83)</f>
        <v>0</v>
      </c>
      <c r="G83" s="20">
        <f>MEDIAN('converted2usd+IQR'!G83, 'converted2usd+IQR'!$O83, 'converted2usd+IQR'!$P83)</f>
        <v>0</v>
      </c>
      <c r="H83" s="20">
        <f>MEDIAN('converted2usd+IQR'!H83, 'converted2usd+IQR'!$O83, 'converted2usd+IQR'!$P83)</f>
        <v>0</v>
      </c>
      <c r="I83" s="20">
        <f>MEDIAN('converted2usd+IQR'!I83, 'converted2usd+IQR'!$O83, 'converted2usd+IQR'!$P83)</f>
        <v>0</v>
      </c>
      <c r="J83" s="20">
        <f>MEDIAN('converted2usd+IQR'!J83, 'converted2usd+IQR'!$O83, 'converted2usd+IQR'!$P83)</f>
        <v>0</v>
      </c>
      <c r="K83" s="20">
        <f>MEDIAN('converted2usd+IQR'!K83, 'converted2usd+IQR'!$O83, 'converted2usd+IQR'!$P83)</f>
        <v>0</v>
      </c>
    </row>
    <row r="84" spans="1:11">
      <c r="A84" s="6" t="s">
        <v>83</v>
      </c>
      <c r="B84" s="20">
        <f>MEDIAN('converted2usd+IQR'!B84, 'converted2usd+IQR'!$O84, 'converted2usd+IQR'!$P84)</f>
        <v>0</v>
      </c>
      <c r="C84" s="20">
        <f>MEDIAN('converted2usd+IQR'!C84, 'converted2usd+IQR'!$O84, 'converted2usd+IQR'!$P84)</f>
        <v>0</v>
      </c>
      <c r="D84" s="20">
        <f>MEDIAN('converted2usd+IQR'!D84, 'converted2usd+IQR'!$O84, 'converted2usd+IQR'!$P84)</f>
        <v>0</v>
      </c>
      <c r="E84" s="20">
        <f>MEDIAN('converted2usd+IQR'!E84, 'converted2usd+IQR'!$O84, 'converted2usd+IQR'!$P84)</f>
        <v>0</v>
      </c>
      <c r="F84" s="20">
        <f>MEDIAN('converted2usd+IQR'!F84, 'converted2usd+IQR'!$O84, 'converted2usd+IQR'!$P84)</f>
        <v>0</v>
      </c>
      <c r="G84" s="20">
        <f>MEDIAN('converted2usd+IQR'!G84, 'converted2usd+IQR'!$O84, 'converted2usd+IQR'!$P84)</f>
        <v>0</v>
      </c>
      <c r="H84" s="20">
        <f>MEDIAN('converted2usd+IQR'!H84, 'converted2usd+IQR'!$O84, 'converted2usd+IQR'!$P84)</f>
        <v>0</v>
      </c>
      <c r="I84" s="20">
        <f>MEDIAN('converted2usd+IQR'!I84, 'converted2usd+IQR'!$O84, 'converted2usd+IQR'!$P84)</f>
        <v>0</v>
      </c>
      <c r="J84" s="20">
        <f>MEDIAN('converted2usd+IQR'!J84, 'converted2usd+IQR'!$O84, 'converted2usd+IQR'!$P84)</f>
        <v>0</v>
      </c>
      <c r="K84" s="20">
        <f>MEDIAN('converted2usd+IQR'!K84, 'converted2usd+IQR'!$O84, 'converted2usd+IQR'!$P84)</f>
        <v>0</v>
      </c>
    </row>
    <row r="85" spans="1:11">
      <c r="A85" s="6" t="s">
        <v>84</v>
      </c>
      <c r="B85" s="20">
        <f>MEDIAN('converted2usd+IQR'!B85, 'converted2usd+IQR'!$O85, 'converted2usd+IQR'!$P85)</f>
        <v>10835.991394471223</v>
      </c>
      <c r="C85" s="20">
        <f>MEDIAN('converted2usd+IQR'!C85, 'converted2usd+IQR'!$O85, 'converted2usd+IQR'!$P85)</f>
        <v>9060.4155744666841</v>
      </c>
      <c r="D85" s="20">
        <f>MEDIAN('converted2usd+IQR'!D85, 'converted2usd+IQR'!$O85, 'converted2usd+IQR'!$P85)</f>
        <v>8215.5812246756068</v>
      </c>
      <c r="E85" s="20">
        <f>MEDIAN('converted2usd+IQR'!E85, 'converted2usd+IQR'!$O85, 'converted2usd+IQR'!$P85)</f>
        <v>5957.4808532100478</v>
      </c>
      <c r="F85" s="20">
        <f>MEDIAN('converted2usd+IQR'!F85, 'converted2usd+IQR'!$O85, 'converted2usd+IQR'!$P85)</f>
        <v>10554.139228422458</v>
      </c>
      <c r="G85" s="20">
        <f>MEDIAN('converted2usd+IQR'!G85, 'converted2usd+IQR'!$O85, 'converted2usd+IQR'!$P85)</f>
        <v>24566.92770483912</v>
      </c>
      <c r="H85" s="20">
        <f>MEDIAN('converted2usd+IQR'!H85, 'converted2usd+IQR'!$O85, 'converted2usd+IQR'!$P85)</f>
        <v>4554.1745796473115</v>
      </c>
      <c r="I85" s="20">
        <f>MEDIAN('converted2usd+IQR'!I85, 'converted2usd+IQR'!$O85, 'converted2usd+IQR'!$P85)</f>
        <v>3305.8558880895166</v>
      </c>
      <c r="J85" s="20">
        <f>MEDIAN('converted2usd+IQR'!J85, 'converted2usd+IQR'!$O85, 'converted2usd+IQR'!$P85)</f>
        <v>17503.212558111547</v>
      </c>
      <c r="K85" s="20">
        <f>MEDIAN('converted2usd+IQR'!K85, 'converted2usd+IQR'!$O85, 'converted2usd+IQR'!$P85)</f>
        <v>1765.1685742678997</v>
      </c>
    </row>
    <row r="86" spans="1:11">
      <c r="A86" s="5" t="s">
        <v>85</v>
      </c>
      <c r="B86" s="20">
        <f>MEDIAN('converted2usd+IQR'!B86, 'converted2usd+IQR'!$O86, 'converted2usd+IQR'!$P86)</f>
        <v>-9847.6239112679505</v>
      </c>
      <c r="C86" s="20">
        <f>MEDIAN('converted2usd+IQR'!C86, 'converted2usd+IQR'!$O86, 'converted2usd+IQR'!$P86)</f>
        <v>-28935.940507892275</v>
      </c>
      <c r="D86" s="20">
        <f>MEDIAN('converted2usd+IQR'!D86, 'converted2usd+IQR'!$O86, 'converted2usd+IQR'!$P86)</f>
        <v>-28226.990042300757</v>
      </c>
      <c r="E86" s="20">
        <f>MEDIAN('converted2usd+IQR'!E86, 'converted2usd+IQR'!$O86, 'converted2usd+IQR'!$P86)</f>
        <v>-20993.671840084178</v>
      </c>
      <c r="F86" s="20">
        <f>MEDIAN('converted2usd+IQR'!F86, 'converted2usd+IQR'!$O86, 'converted2usd+IQR'!$P86)</f>
        <v>-16646.748663451293</v>
      </c>
      <c r="G86" s="20">
        <f>MEDIAN('converted2usd+IQR'!G86, 'converted2usd+IQR'!$O86, 'converted2usd+IQR'!$P86)</f>
        <v>-32181.811317992298</v>
      </c>
      <c r="H86" s="20">
        <f>MEDIAN('converted2usd+IQR'!H86, 'converted2usd+IQR'!$O86, 'converted2usd+IQR'!$P86)</f>
        <v>-19570.330937531409</v>
      </c>
      <c r="I86" s="20">
        <f>MEDIAN('converted2usd+IQR'!I86, 'converted2usd+IQR'!$O86, 'converted2usd+IQR'!$P86)</f>
        <v>-5224.8973143066851</v>
      </c>
      <c r="J86" s="20">
        <f>MEDIAN('converted2usd+IQR'!J86, 'converted2usd+IQR'!$O86, 'converted2usd+IQR'!$P86)</f>
        <v>53733.665621051834</v>
      </c>
      <c r="K86" s="20">
        <f>MEDIAN('converted2usd+IQR'!K86, 'converted2usd+IQR'!$O86, 'converted2usd+IQR'!$P86)</f>
        <v>53733.665621051834</v>
      </c>
    </row>
    <row r="87" spans="1:11">
      <c r="A87" s="6" t="s">
        <v>86</v>
      </c>
      <c r="B87" s="20">
        <f>MEDIAN('converted2usd+IQR'!B87, 'converted2usd+IQR'!$O87, 'converted2usd+IQR'!$P87)</f>
        <v>0</v>
      </c>
      <c r="C87" s="20">
        <f>MEDIAN('converted2usd+IQR'!C87, 'converted2usd+IQR'!$O87, 'converted2usd+IQR'!$P87)</f>
        <v>0</v>
      </c>
      <c r="D87" s="20">
        <f>MEDIAN('converted2usd+IQR'!D87, 'converted2usd+IQR'!$O87, 'converted2usd+IQR'!$P87)</f>
        <v>0</v>
      </c>
      <c r="E87" s="20">
        <f>MEDIAN('converted2usd+IQR'!E87, 'converted2usd+IQR'!$O87, 'converted2usd+IQR'!$P87)</f>
        <v>0</v>
      </c>
      <c r="F87" s="20">
        <f>MEDIAN('converted2usd+IQR'!F87, 'converted2usd+IQR'!$O87, 'converted2usd+IQR'!$P87)</f>
        <v>0</v>
      </c>
      <c r="G87" s="20">
        <f>MEDIAN('converted2usd+IQR'!G87, 'converted2usd+IQR'!$O87, 'converted2usd+IQR'!$P87)</f>
        <v>0</v>
      </c>
      <c r="H87" s="20">
        <f>MEDIAN('converted2usd+IQR'!H87, 'converted2usd+IQR'!$O87, 'converted2usd+IQR'!$P87)</f>
        <v>0</v>
      </c>
      <c r="I87" s="20">
        <f>MEDIAN('converted2usd+IQR'!I87, 'converted2usd+IQR'!$O87, 'converted2usd+IQR'!$P87)</f>
        <v>0</v>
      </c>
      <c r="J87" s="20">
        <f>MEDIAN('converted2usd+IQR'!J87, 'converted2usd+IQR'!$O87, 'converted2usd+IQR'!$P87)</f>
        <v>0</v>
      </c>
      <c r="K87" s="20">
        <f>MEDIAN('converted2usd+IQR'!K87, 'converted2usd+IQR'!$O87, 'converted2usd+IQR'!$P87)</f>
        <v>0</v>
      </c>
    </row>
    <row r="88" spans="1:11">
      <c r="A88" s="5" t="s">
        <v>87</v>
      </c>
      <c r="B88" s="20">
        <f>MEDIAN('converted2usd+IQR'!B88, 'converted2usd+IQR'!$O88, 'converted2usd+IQR'!$P88)</f>
        <v>0</v>
      </c>
      <c r="C88" s="20">
        <f>MEDIAN('converted2usd+IQR'!C88, 'converted2usd+IQR'!$O88, 'converted2usd+IQR'!$P88)</f>
        <v>0</v>
      </c>
      <c r="D88" s="20">
        <f>MEDIAN('converted2usd+IQR'!D88, 'converted2usd+IQR'!$O88, 'converted2usd+IQR'!$P88)</f>
        <v>0</v>
      </c>
      <c r="E88" s="20">
        <f>MEDIAN('converted2usd+IQR'!E88, 'converted2usd+IQR'!$O88, 'converted2usd+IQR'!$P88)</f>
        <v>0</v>
      </c>
      <c r="F88" s="20">
        <f>MEDIAN('converted2usd+IQR'!F88, 'converted2usd+IQR'!$O88, 'converted2usd+IQR'!$P88)</f>
        <v>0</v>
      </c>
      <c r="G88" s="20">
        <f>MEDIAN('converted2usd+IQR'!G88, 'converted2usd+IQR'!$O88, 'converted2usd+IQR'!$P88)</f>
        <v>0</v>
      </c>
      <c r="H88" s="20">
        <f>MEDIAN('converted2usd+IQR'!H88, 'converted2usd+IQR'!$O88, 'converted2usd+IQR'!$P88)</f>
        <v>0</v>
      </c>
      <c r="I88" s="20">
        <f>MEDIAN('converted2usd+IQR'!I88, 'converted2usd+IQR'!$O88, 'converted2usd+IQR'!$P88)</f>
        <v>0</v>
      </c>
      <c r="J88" s="20">
        <f>MEDIAN('converted2usd+IQR'!J88, 'converted2usd+IQR'!$O88, 'converted2usd+IQR'!$P88)</f>
        <v>0</v>
      </c>
      <c r="K88" s="20">
        <f>MEDIAN('converted2usd+IQR'!K88, 'converted2usd+IQR'!$O88, 'converted2usd+IQR'!$P88)</f>
        <v>0</v>
      </c>
    </row>
    <row r="89" spans="1:11">
      <c r="A89" s="6" t="s">
        <v>88</v>
      </c>
      <c r="B89" s="20">
        <f>MEDIAN('converted2usd+IQR'!B89, 'converted2usd+IQR'!$O89, 'converted2usd+IQR'!$P89)</f>
        <v>0</v>
      </c>
      <c r="C89" s="20">
        <f>MEDIAN('converted2usd+IQR'!C89, 'converted2usd+IQR'!$O89, 'converted2usd+IQR'!$P89)</f>
        <v>0</v>
      </c>
      <c r="D89" s="20">
        <f>MEDIAN('converted2usd+IQR'!D89, 'converted2usd+IQR'!$O89, 'converted2usd+IQR'!$P89)</f>
        <v>0</v>
      </c>
      <c r="E89" s="20">
        <f>MEDIAN('converted2usd+IQR'!E89, 'converted2usd+IQR'!$O89, 'converted2usd+IQR'!$P89)</f>
        <v>0</v>
      </c>
      <c r="F89" s="20">
        <f>MEDIAN('converted2usd+IQR'!F89, 'converted2usd+IQR'!$O89, 'converted2usd+IQR'!$P89)</f>
        <v>0</v>
      </c>
      <c r="G89" s="20">
        <f>MEDIAN('converted2usd+IQR'!G89, 'converted2usd+IQR'!$O89, 'converted2usd+IQR'!$P89)</f>
        <v>0</v>
      </c>
      <c r="H89" s="20">
        <f>MEDIAN('converted2usd+IQR'!H89, 'converted2usd+IQR'!$O89, 'converted2usd+IQR'!$P89)</f>
        <v>0</v>
      </c>
      <c r="I89" s="20">
        <f>MEDIAN('converted2usd+IQR'!I89, 'converted2usd+IQR'!$O89, 'converted2usd+IQR'!$P89)</f>
        <v>0</v>
      </c>
      <c r="J89" s="20">
        <f>MEDIAN('converted2usd+IQR'!J89, 'converted2usd+IQR'!$O89, 'converted2usd+IQR'!$P89)</f>
        <v>0</v>
      </c>
      <c r="K89" s="20">
        <f>MEDIAN('converted2usd+IQR'!K89, 'converted2usd+IQR'!$O89, 'converted2usd+IQR'!$P89)</f>
        <v>0</v>
      </c>
    </row>
    <row r="90" spans="1:11">
      <c r="A90" s="5" t="s">
        <v>89</v>
      </c>
      <c r="B90" s="20">
        <f>MEDIAN('converted2usd+IQR'!B90, 'converted2usd+IQR'!$O90, 'converted2usd+IQR'!$P90)</f>
        <v>0</v>
      </c>
      <c r="C90" s="20">
        <f>MEDIAN('converted2usd+IQR'!C90, 'converted2usd+IQR'!$O90, 'converted2usd+IQR'!$P90)</f>
        <v>0</v>
      </c>
      <c r="D90" s="20">
        <f>MEDIAN('converted2usd+IQR'!D90, 'converted2usd+IQR'!$O90, 'converted2usd+IQR'!$P90)</f>
        <v>0</v>
      </c>
      <c r="E90" s="20">
        <f>MEDIAN('converted2usd+IQR'!E90, 'converted2usd+IQR'!$O90, 'converted2usd+IQR'!$P90)</f>
        <v>0</v>
      </c>
      <c r="F90" s="20">
        <f>MEDIAN('converted2usd+IQR'!F90, 'converted2usd+IQR'!$O90, 'converted2usd+IQR'!$P90)</f>
        <v>0</v>
      </c>
      <c r="G90" s="20">
        <f>MEDIAN('converted2usd+IQR'!G90, 'converted2usd+IQR'!$O90, 'converted2usd+IQR'!$P90)</f>
        <v>0</v>
      </c>
      <c r="H90" s="20">
        <f>MEDIAN('converted2usd+IQR'!H90, 'converted2usd+IQR'!$O90, 'converted2usd+IQR'!$P90)</f>
        <v>0</v>
      </c>
      <c r="I90" s="20">
        <f>MEDIAN('converted2usd+IQR'!I90, 'converted2usd+IQR'!$O90, 'converted2usd+IQR'!$P90)</f>
        <v>0</v>
      </c>
      <c r="J90" s="20">
        <f>MEDIAN('converted2usd+IQR'!J90, 'converted2usd+IQR'!$O90, 'converted2usd+IQR'!$P90)</f>
        <v>0</v>
      </c>
      <c r="K90" s="20">
        <f>MEDIAN('converted2usd+IQR'!K90, 'converted2usd+IQR'!$O90, 'converted2usd+IQR'!$P90)</f>
        <v>0</v>
      </c>
    </row>
    <row r="91" spans="1:11">
      <c r="A91" s="6" t="s">
        <v>90</v>
      </c>
      <c r="B91" s="20">
        <f>MEDIAN('converted2usd+IQR'!B91, 'converted2usd+IQR'!$O91, 'converted2usd+IQR'!$P91)</f>
        <v>-16225.147966209786</v>
      </c>
      <c r="C91" s="20">
        <f>MEDIAN('converted2usd+IQR'!C91, 'converted2usd+IQR'!$O91, 'converted2usd+IQR'!$P91)</f>
        <v>-14745.482200832648</v>
      </c>
      <c r="D91" s="20">
        <f>MEDIAN('converted2usd+IQR'!D91, 'converted2usd+IQR'!$O91, 'converted2usd+IQR'!$P91)</f>
        <v>-14299.597917372987</v>
      </c>
      <c r="E91" s="20">
        <f>MEDIAN('converted2usd+IQR'!E91, 'converted2usd+IQR'!$O91, 'converted2usd+IQR'!$P91)</f>
        <v>-10346.132500991684</v>
      </c>
      <c r="F91" s="20">
        <f>MEDIAN('converted2usd+IQR'!F91, 'converted2usd+IQR'!$O91, 'converted2usd+IQR'!$P91)</f>
        <v>-8284.3506001036785</v>
      </c>
      <c r="G91" s="20">
        <f>MEDIAN('converted2usd+IQR'!G91, 'converted2usd+IQR'!$O91, 'converted2usd+IQR'!$P91)</f>
        <v>-6965.3402070563625</v>
      </c>
      <c r="H91" s="20">
        <f>MEDIAN('converted2usd+IQR'!H91, 'converted2usd+IQR'!$O91, 'converted2usd+IQR'!$P91)</f>
        <v>-3172.7121849725049</v>
      </c>
      <c r="I91" s="20">
        <f>MEDIAN('converted2usd+IQR'!I91, 'converted2usd+IQR'!$O91, 'converted2usd+IQR'!$P91)</f>
        <v>-3896.9988729634279</v>
      </c>
      <c r="J91" s="20">
        <f>MEDIAN('converted2usd+IQR'!J91, 'converted2usd+IQR'!$O91, 'converted2usd+IQR'!$P91)</f>
        <v>26518.559261952039</v>
      </c>
      <c r="K91" s="20">
        <f>MEDIAN('converted2usd+IQR'!K91, 'converted2usd+IQR'!$O91, 'converted2usd+IQR'!$P91)</f>
        <v>26518.559261952039</v>
      </c>
    </row>
    <row r="92" spans="1:11">
      <c r="A92" s="5" t="s">
        <v>91</v>
      </c>
      <c r="B92" s="20">
        <f>MEDIAN('converted2usd+IQR'!B92, 'converted2usd+IQR'!$O92, 'converted2usd+IQR'!$P92)</f>
        <v>0</v>
      </c>
      <c r="C92" s="20">
        <f>MEDIAN('converted2usd+IQR'!C92, 'converted2usd+IQR'!$O92, 'converted2usd+IQR'!$P92)</f>
        <v>0</v>
      </c>
      <c r="D92" s="20">
        <f>MEDIAN('converted2usd+IQR'!D92, 'converted2usd+IQR'!$O92, 'converted2usd+IQR'!$P92)</f>
        <v>0</v>
      </c>
      <c r="E92" s="20">
        <f>MEDIAN('converted2usd+IQR'!E92, 'converted2usd+IQR'!$O92, 'converted2usd+IQR'!$P92)</f>
        <v>0</v>
      </c>
      <c r="F92" s="20">
        <f>MEDIAN('converted2usd+IQR'!F92, 'converted2usd+IQR'!$O92, 'converted2usd+IQR'!$P92)</f>
        <v>0</v>
      </c>
      <c r="G92" s="20">
        <f>MEDIAN('converted2usd+IQR'!G92, 'converted2usd+IQR'!$O92, 'converted2usd+IQR'!$P92)</f>
        <v>0</v>
      </c>
      <c r="H92" s="20">
        <f>MEDIAN('converted2usd+IQR'!H92, 'converted2usd+IQR'!$O92, 'converted2usd+IQR'!$P92)</f>
        <v>0</v>
      </c>
      <c r="I92" s="20">
        <f>MEDIAN('converted2usd+IQR'!I92, 'converted2usd+IQR'!$O92, 'converted2usd+IQR'!$P92)</f>
        <v>0</v>
      </c>
      <c r="J92" s="20">
        <f>MEDIAN('converted2usd+IQR'!J92, 'converted2usd+IQR'!$O92, 'converted2usd+IQR'!$P92)</f>
        <v>0</v>
      </c>
      <c r="K92" s="20">
        <f>MEDIAN('converted2usd+IQR'!K92, 'converted2usd+IQR'!$O92, 'converted2usd+IQR'!$P92)</f>
        <v>0</v>
      </c>
    </row>
    <row r="93" spans="1:11">
      <c r="A93" s="7" t="s">
        <v>74</v>
      </c>
      <c r="B93" s="20">
        <f>MEDIAN('converted2usd+IQR'!B93, 'converted2usd+IQR'!$O93, 'converted2usd+IQR'!$P93)</f>
        <v>-15236.780483006514</v>
      </c>
      <c r="C93" s="20">
        <f>MEDIAN('converted2usd+IQR'!C93, 'converted2usd+IQR'!$O93, 'converted2usd+IQR'!$P93)</f>
        <v>-34621.007134258238</v>
      </c>
      <c r="D93" s="20">
        <f>MEDIAN('converted2usd+IQR'!D93, 'converted2usd+IQR'!$O93, 'converted2usd+IQR'!$P93)</f>
        <v>-34311.006734998133</v>
      </c>
      <c r="E93" s="20">
        <f>MEDIAN('converted2usd+IQR'!E93, 'converted2usd+IQR'!$O93, 'converted2usd+IQR'!$P93)</f>
        <v>-25382.323487865815</v>
      </c>
      <c r="F93" s="20">
        <f>MEDIAN('converted2usd+IQR'!F93, 'converted2usd+IQR'!$O93, 'converted2usd+IQR'!$P93)</f>
        <v>-14376.960035132513</v>
      </c>
      <c r="G93" s="20">
        <f>MEDIAN('converted2usd+IQR'!G93, 'converted2usd+IQR'!$O93, 'converted2usd+IQR'!$P93)</f>
        <v>-14580.223820209541</v>
      </c>
      <c r="H93" s="20">
        <f>MEDIAN('converted2usd+IQR'!H93, 'converted2usd+IQR'!$O93, 'converted2usd+IQR'!$P93)</f>
        <v>-18188.868542856602</v>
      </c>
      <c r="I93" s="20">
        <f>MEDIAN('converted2usd+IQR'!I93, 'converted2usd+IQR'!$O93, 'converted2usd+IQR'!$P93)</f>
        <v>288785.11051227158</v>
      </c>
      <c r="J93" s="20">
        <f>MEDIAN('converted2usd+IQR'!J93, 'converted2usd+IQR'!$O93, 'converted2usd+IQR'!$P93)</f>
        <v>346561.87606751808</v>
      </c>
      <c r="K93" s="20">
        <f>MEDIAN('converted2usd+IQR'!K93, 'converted2usd+IQR'!$O93, 'converted2usd+IQR'!$P93)</f>
        <v>429371.208795699</v>
      </c>
    </row>
    <row r="94" spans="1:11">
      <c r="A94" s="5" t="s">
        <v>92</v>
      </c>
      <c r="B94" s="20">
        <f>MEDIAN('converted2usd+IQR'!B94, 'converted2usd+IQR'!$O94, 'converted2usd+IQR'!$P94)</f>
        <v>0</v>
      </c>
      <c r="C94" s="20">
        <f>MEDIAN('converted2usd+IQR'!C94, 'converted2usd+IQR'!$O94, 'converted2usd+IQR'!$P94)</f>
        <v>0</v>
      </c>
      <c r="D94" s="20">
        <f>MEDIAN('converted2usd+IQR'!D94, 'converted2usd+IQR'!$O94, 'converted2usd+IQR'!$P94)</f>
        <v>0</v>
      </c>
      <c r="E94" s="20">
        <f>MEDIAN('converted2usd+IQR'!E94, 'converted2usd+IQR'!$O94, 'converted2usd+IQR'!$P94)</f>
        <v>0</v>
      </c>
      <c r="F94" s="20">
        <f>MEDIAN('converted2usd+IQR'!F94, 'converted2usd+IQR'!$O94, 'converted2usd+IQR'!$P94)</f>
        <v>0</v>
      </c>
      <c r="G94" s="20">
        <f>MEDIAN('converted2usd+IQR'!G94, 'converted2usd+IQR'!$O94, 'converted2usd+IQR'!$P94)</f>
        <v>0</v>
      </c>
      <c r="H94" s="20">
        <f>MEDIAN('converted2usd+IQR'!H94, 'converted2usd+IQR'!$O94, 'converted2usd+IQR'!$P94)</f>
        <v>0</v>
      </c>
      <c r="I94" s="20">
        <f>MEDIAN('converted2usd+IQR'!I94, 'converted2usd+IQR'!$O94, 'converted2usd+IQR'!$P94)</f>
        <v>0</v>
      </c>
      <c r="J94" s="20">
        <f>MEDIAN('converted2usd+IQR'!J94, 'converted2usd+IQR'!$O94, 'converted2usd+IQR'!$P94)</f>
        <v>0</v>
      </c>
      <c r="K94" s="20">
        <f>MEDIAN('converted2usd+IQR'!K94, 'converted2usd+IQR'!$O94, 'converted2usd+IQR'!$P94)</f>
        <v>0</v>
      </c>
    </row>
    <row r="95" spans="1:11">
      <c r="A95" s="6" t="s">
        <v>93</v>
      </c>
      <c r="B95" s="20">
        <f>MEDIAN('converted2usd+IQR'!B95, 'converted2usd+IQR'!$O95, 'converted2usd+IQR'!$P95)</f>
        <v>0</v>
      </c>
      <c r="C95" s="20">
        <f>MEDIAN('converted2usd+IQR'!C95, 'converted2usd+IQR'!$O95, 'converted2usd+IQR'!$P95)</f>
        <v>435.7984162069979</v>
      </c>
      <c r="D95" s="20">
        <f>MEDIAN('converted2usd+IQR'!D95, 'converted2usd+IQR'!$O95, 'converted2usd+IQR'!$P95)</f>
        <v>435.7984162069979</v>
      </c>
      <c r="E95" s="20">
        <f>MEDIAN('converted2usd+IQR'!E95, 'converted2usd+IQR'!$O95, 'converted2usd+IQR'!$P95)</f>
        <v>0</v>
      </c>
      <c r="F95" s="20">
        <f>MEDIAN('converted2usd+IQR'!F95, 'converted2usd+IQR'!$O95, 'converted2usd+IQR'!$P95)</f>
        <v>0</v>
      </c>
      <c r="G95" s="20">
        <f>MEDIAN('converted2usd+IQR'!G95, 'converted2usd+IQR'!$O95, 'converted2usd+IQR'!$P95)</f>
        <v>0</v>
      </c>
      <c r="H95" s="20">
        <f>MEDIAN('converted2usd+IQR'!H95, 'converted2usd+IQR'!$O95, 'converted2usd+IQR'!$P95)</f>
        <v>53.927281994784252</v>
      </c>
      <c r="I95" s="20">
        <f>MEDIAN('converted2usd+IQR'!I95, 'converted2usd+IQR'!$O95, 'converted2usd+IQR'!$P95)</f>
        <v>112.97808632061559</v>
      </c>
      <c r="J95" s="20">
        <f>MEDIAN('converted2usd+IQR'!J95, 'converted2usd+IQR'!$O95, 'converted2usd+IQR'!$P95)</f>
        <v>96.864157245151162</v>
      </c>
      <c r="K95" s="20">
        <f>MEDIAN('converted2usd+IQR'!K95, 'converted2usd+IQR'!$O95, 'converted2usd+IQR'!$P95)</f>
        <v>2.5847312113898235</v>
      </c>
    </row>
    <row r="96" spans="1:11">
      <c r="A96" s="5" t="s">
        <v>94</v>
      </c>
      <c r="B96" s="20">
        <f>MEDIAN('converted2usd+IQR'!B96, 'converted2usd+IQR'!$O96, 'converted2usd+IQR'!$P96)</f>
        <v>0</v>
      </c>
      <c r="C96" s="20">
        <f>MEDIAN('converted2usd+IQR'!C96, 'converted2usd+IQR'!$O96, 'converted2usd+IQR'!$P96)</f>
        <v>0</v>
      </c>
      <c r="D96" s="20">
        <f>MEDIAN('converted2usd+IQR'!D96, 'converted2usd+IQR'!$O96, 'converted2usd+IQR'!$P96)</f>
        <v>0</v>
      </c>
      <c r="E96" s="20">
        <f>MEDIAN('converted2usd+IQR'!E96, 'converted2usd+IQR'!$O96, 'converted2usd+IQR'!$P96)</f>
        <v>0</v>
      </c>
      <c r="F96" s="20">
        <f>MEDIAN('converted2usd+IQR'!F96, 'converted2usd+IQR'!$O96, 'converted2usd+IQR'!$P96)</f>
        <v>0</v>
      </c>
      <c r="G96" s="20">
        <f>MEDIAN('converted2usd+IQR'!G96, 'converted2usd+IQR'!$O96, 'converted2usd+IQR'!$P96)</f>
        <v>0</v>
      </c>
      <c r="H96" s="20">
        <f>MEDIAN('converted2usd+IQR'!H96, 'converted2usd+IQR'!$O96, 'converted2usd+IQR'!$P96)</f>
        <v>0</v>
      </c>
      <c r="I96" s="20">
        <f>MEDIAN('converted2usd+IQR'!I96, 'converted2usd+IQR'!$O96, 'converted2usd+IQR'!$P96)</f>
        <v>0</v>
      </c>
      <c r="J96" s="20">
        <f>MEDIAN('converted2usd+IQR'!J96, 'converted2usd+IQR'!$O96, 'converted2usd+IQR'!$P96)</f>
        <v>0</v>
      </c>
      <c r="K96" s="20">
        <f>MEDIAN('converted2usd+IQR'!K96, 'converted2usd+IQR'!$O96, 'converted2usd+IQR'!$P96)</f>
        <v>0</v>
      </c>
    </row>
    <row r="97" spans="1:11">
      <c r="A97" s="6" t="s">
        <v>95</v>
      </c>
      <c r="B97" s="20">
        <f>MEDIAN('converted2usd+IQR'!B97, 'converted2usd+IQR'!$O97, 'converted2usd+IQR'!$P97)</f>
        <v>0</v>
      </c>
      <c r="C97" s="20">
        <f>MEDIAN('converted2usd+IQR'!C97, 'converted2usd+IQR'!$O97, 'converted2usd+IQR'!$P97)</f>
        <v>0</v>
      </c>
      <c r="D97" s="20">
        <f>MEDIAN('converted2usd+IQR'!D97, 'converted2usd+IQR'!$O97, 'converted2usd+IQR'!$P97)</f>
        <v>0</v>
      </c>
      <c r="E97" s="20">
        <f>MEDIAN('converted2usd+IQR'!E97, 'converted2usd+IQR'!$O97, 'converted2usd+IQR'!$P97)</f>
        <v>0</v>
      </c>
      <c r="F97" s="20">
        <f>MEDIAN('converted2usd+IQR'!F97, 'converted2usd+IQR'!$O97, 'converted2usd+IQR'!$P97)</f>
        <v>0</v>
      </c>
      <c r="G97" s="20">
        <f>MEDIAN('converted2usd+IQR'!G97, 'converted2usd+IQR'!$O97, 'converted2usd+IQR'!$P97)</f>
        <v>0</v>
      </c>
      <c r="H97" s="20">
        <f>MEDIAN('converted2usd+IQR'!H97, 'converted2usd+IQR'!$O97, 'converted2usd+IQR'!$P97)</f>
        <v>0</v>
      </c>
      <c r="I97" s="20">
        <f>MEDIAN('converted2usd+IQR'!I97, 'converted2usd+IQR'!$O97, 'converted2usd+IQR'!$P97)</f>
        <v>0</v>
      </c>
      <c r="J97" s="20">
        <f>MEDIAN('converted2usd+IQR'!J97, 'converted2usd+IQR'!$O97, 'converted2usd+IQR'!$P97)</f>
        <v>0</v>
      </c>
      <c r="K97" s="20">
        <f>MEDIAN('converted2usd+IQR'!K97, 'converted2usd+IQR'!$O97, 'converted2usd+IQR'!$P97)</f>
        <v>0</v>
      </c>
    </row>
    <row r="98" spans="1:11">
      <c r="A98" s="5" t="s">
        <v>96</v>
      </c>
      <c r="B98" s="20">
        <f>MEDIAN('converted2usd+IQR'!B98, 'converted2usd+IQR'!$O98, 'converted2usd+IQR'!$P98)</f>
        <v>0</v>
      </c>
      <c r="C98" s="20">
        <f>MEDIAN('converted2usd+IQR'!C98, 'converted2usd+IQR'!$O98, 'converted2usd+IQR'!$P98)</f>
        <v>0</v>
      </c>
      <c r="D98" s="20">
        <f>MEDIAN('converted2usd+IQR'!D98, 'converted2usd+IQR'!$O98, 'converted2usd+IQR'!$P98)</f>
        <v>0</v>
      </c>
      <c r="E98" s="20">
        <f>MEDIAN('converted2usd+IQR'!E98, 'converted2usd+IQR'!$O98, 'converted2usd+IQR'!$P98)</f>
        <v>0</v>
      </c>
      <c r="F98" s="20">
        <f>MEDIAN('converted2usd+IQR'!F98, 'converted2usd+IQR'!$O98, 'converted2usd+IQR'!$P98)</f>
        <v>0</v>
      </c>
      <c r="G98" s="20">
        <f>MEDIAN('converted2usd+IQR'!G98, 'converted2usd+IQR'!$O98, 'converted2usd+IQR'!$P98)</f>
        <v>0</v>
      </c>
      <c r="H98" s="20">
        <f>MEDIAN('converted2usd+IQR'!H98, 'converted2usd+IQR'!$O98, 'converted2usd+IQR'!$P98)</f>
        <v>0</v>
      </c>
      <c r="I98" s="20">
        <f>MEDIAN('converted2usd+IQR'!I98, 'converted2usd+IQR'!$O98, 'converted2usd+IQR'!$P98)</f>
        <v>0</v>
      </c>
      <c r="J98" s="20">
        <f>MEDIAN('converted2usd+IQR'!J98, 'converted2usd+IQR'!$O98, 'converted2usd+IQR'!$P98)</f>
        <v>0</v>
      </c>
      <c r="K98" s="20">
        <f>MEDIAN('converted2usd+IQR'!K98, 'converted2usd+IQR'!$O98, 'converted2usd+IQR'!$P98)</f>
        <v>0</v>
      </c>
    </row>
    <row r="99" spans="1:11">
      <c r="A99" s="6" t="s">
        <v>97</v>
      </c>
      <c r="B99" s="20">
        <f>MEDIAN('converted2usd+IQR'!B99, 'converted2usd+IQR'!$O99, 'converted2usd+IQR'!$P99)</f>
        <v>0</v>
      </c>
      <c r="C99" s="20">
        <f>MEDIAN('converted2usd+IQR'!C99, 'converted2usd+IQR'!$O99, 'converted2usd+IQR'!$P99)</f>
        <v>0</v>
      </c>
      <c r="D99" s="20">
        <f>MEDIAN('converted2usd+IQR'!D99, 'converted2usd+IQR'!$O99, 'converted2usd+IQR'!$P99)</f>
        <v>0</v>
      </c>
      <c r="E99" s="20">
        <f>MEDIAN('converted2usd+IQR'!E99, 'converted2usd+IQR'!$O99, 'converted2usd+IQR'!$P99)</f>
        <v>0</v>
      </c>
      <c r="F99" s="20">
        <f>MEDIAN('converted2usd+IQR'!F99, 'converted2usd+IQR'!$O99, 'converted2usd+IQR'!$P99)</f>
        <v>0</v>
      </c>
      <c r="G99" s="20">
        <f>MEDIAN('converted2usd+IQR'!G99, 'converted2usd+IQR'!$O99, 'converted2usd+IQR'!$P99)</f>
        <v>0</v>
      </c>
      <c r="H99" s="20">
        <f>MEDIAN('converted2usd+IQR'!H99, 'converted2usd+IQR'!$O99, 'converted2usd+IQR'!$P99)</f>
        <v>0</v>
      </c>
      <c r="I99" s="20">
        <f>MEDIAN('converted2usd+IQR'!I99, 'converted2usd+IQR'!$O99, 'converted2usd+IQR'!$P99)</f>
        <v>0</v>
      </c>
      <c r="J99" s="20">
        <f>MEDIAN('converted2usd+IQR'!J99, 'converted2usd+IQR'!$O99, 'converted2usd+IQR'!$P99)</f>
        <v>0</v>
      </c>
      <c r="K99" s="20">
        <f>MEDIAN('converted2usd+IQR'!K99, 'converted2usd+IQR'!$O99, 'converted2usd+IQR'!$P99)</f>
        <v>0</v>
      </c>
    </row>
    <row r="100" spans="1:11">
      <c r="A100" s="7" t="s">
        <v>98</v>
      </c>
      <c r="B100" s="20">
        <f>MEDIAN('converted2usd+IQR'!B100, 'converted2usd+IQR'!$O100, 'converted2usd+IQR'!$P100)</f>
        <v>0</v>
      </c>
      <c r="C100" s="20">
        <f>MEDIAN('converted2usd+IQR'!C100, 'converted2usd+IQR'!$O100, 'converted2usd+IQR'!$P100)</f>
        <v>435.7984162069979</v>
      </c>
      <c r="D100" s="20">
        <f>MEDIAN('converted2usd+IQR'!D100, 'converted2usd+IQR'!$O100, 'converted2usd+IQR'!$P100)</f>
        <v>435.7984162069979</v>
      </c>
      <c r="E100" s="20">
        <f>MEDIAN('converted2usd+IQR'!E100, 'converted2usd+IQR'!$O100, 'converted2usd+IQR'!$P100)</f>
        <v>0</v>
      </c>
      <c r="F100" s="20">
        <f>MEDIAN('converted2usd+IQR'!F100, 'converted2usd+IQR'!$O100, 'converted2usd+IQR'!$P100)</f>
        <v>0</v>
      </c>
      <c r="G100" s="20">
        <f>MEDIAN('converted2usd+IQR'!G100, 'converted2usd+IQR'!$O100, 'converted2usd+IQR'!$P100)</f>
        <v>0</v>
      </c>
      <c r="H100" s="20">
        <f>MEDIAN('converted2usd+IQR'!H100, 'converted2usd+IQR'!$O100, 'converted2usd+IQR'!$P100)</f>
        <v>53.927281994784252</v>
      </c>
      <c r="I100" s="20">
        <f>MEDIAN('converted2usd+IQR'!I100, 'converted2usd+IQR'!$O100, 'converted2usd+IQR'!$P100)</f>
        <v>112.97808632061559</v>
      </c>
      <c r="J100" s="20">
        <f>MEDIAN('converted2usd+IQR'!J100, 'converted2usd+IQR'!$O100, 'converted2usd+IQR'!$P100)</f>
        <v>96.864157245151162</v>
      </c>
      <c r="K100" s="20">
        <f>MEDIAN('converted2usd+IQR'!K100, 'converted2usd+IQR'!$O100, 'converted2usd+IQR'!$P100)</f>
        <v>2.5847312113898235</v>
      </c>
    </row>
    <row r="101" spans="1:11">
      <c r="A101" s="6" t="s">
        <v>99</v>
      </c>
      <c r="B101" s="20">
        <f>MEDIAN('converted2usd+IQR'!B101, 'converted2usd+IQR'!$O101, 'converted2usd+IQR'!$P101)</f>
        <v>283457.85088320641</v>
      </c>
      <c r="C101" s="20">
        <f>MEDIAN('converted2usd+IQR'!C101, 'converted2usd+IQR'!$O101, 'converted2usd+IQR'!$P101)</f>
        <v>281648.12883355434</v>
      </c>
      <c r="D101" s="20">
        <f>MEDIAN('converted2usd+IQR'!D101, 'converted2usd+IQR'!$O101, 'converted2usd+IQR'!$P101)</f>
        <v>269726.21061659249</v>
      </c>
      <c r="E101" s="20">
        <f>MEDIAN('converted2usd+IQR'!E101, 'converted2usd+IQR'!$O101, 'converted2usd+IQR'!$P101)</f>
        <v>221650.06513588113</v>
      </c>
      <c r="F101" s="20">
        <f>MEDIAN('converted2usd+IQR'!F101, 'converted2usd+IQR'!$O101, 'converted2usd+IQR'!$P101)</f>
        <v>279724.0818420921</v>
      </c>
      <c r="G101" s="20">
        <f>MEDIAN('converted2usd+IQR'!G101, 'converted2usd+IQR'!$O101, 'converted2usd+IQR'!$P101)</f>
        <v>253959.7961927985</v>
      </c>
      <c r="H101" s="20">
        <f>MEDIAN('converted2usd+IQR'!H101, 'converted2usd+IQR'!$O101, 'converted2usd+IQR'!$P101)</f>
        <v>167018.6065098008</v>
      </c>
      <c r="I101" s="20">
        <f>MEDIAN('converted2usd+IQR'!I101, 'converted2usd+IQR'!$O101, 'converted2usd+IQR'!$P101)</f>
        <v>172364.56089107523</v>
      </c>
      <c r="J101" s="20">
        <f>MEDIAN('converted2usd+IQR'!J101, 'converted2usd+IQR'!$O101, 'converted2usd+IQR'!$P101)</f>
        <v>172340.17949253874</v>
      </c>
      <c r="K101" s="20">
        <f>MEDIAN('converted2usd+IQR'!K101, 'converted2usd+IQR'!$O101, 'converted2usd+IQR'!$P101)</f>
        <v>318216.65222134185</v>
      </c>
    </row>
    <row r="102" spans="1:11">
      <c r="A102" s="5" t="s">
        <v>100</v>
      </c>
      <c r="B102" s="20">
        <f>MEDIAN('converted2usd+IQR'!B102, 'converted2usd+IQR'!$O102, 'converted2usd+IQR'!$P102)</f>
        <v>0</v>
      </c>
      <c r="C102" s="20">
        <f>MEDIAN('converted2usd+IQR'!C102, 'converted2usd+IQR'!$O102, 'converted2usd+IQR'!$P102)</f>
        <v>0</v>
      </c>
      <c r="D102" s="20">
        <f>MEDIAN('converted2usd+IQR'!D102, 'converted2usd+IQR'!$O102, 'converted2usd+IQR'!$P102)</f>
        <v>0</v>
      </c>
      <c r="E102" s="20">
        <f>MEDIAN('converted2usd+IQR'!E102, 'converted2usd+IQR'!$O102, 'converted2usd+IQR'!$P102)</f>
        <v>0</v>
      </c>
      <c r="F102" s="20">
        <f>MEDIAN('converted2usd+IQR'!F102, 'converted2usd+IQR'!$O102, 'converted2usd+IQR'!$P102)</f>
        <v>0</v>
      </c>
      <c r="G102" s="20">
        <f>MEDIAN('converted2usd+IQR'!G102, 'converted2usd+IQR'!$O102, 'converted2usd+IQR'!$P102)</f>
        <v>0</v>
      </c>
      <c r="H102" s="20">
        <f>MEDIAN('converted2usd+IQR'!H102, 'converted2usd+IQR'!$O102, 'converted2usd+IQR'!$P102)</f>
        <v>0</v>
      </c>
      <c r="I102" s="20">
        <f>MEDIAN('converted2usd+IQR'!I102, 'converted2usd+IQR'!$O102, 'converted2usd+IQR'!$P102)</f>
        <v>0</v>
      </c>
      <c r="J102" s="20">
        <f>MEDIAN('converted2usd+IQR'!J102, 'converted2usd+IQR'!$O102, 'converted2usd+IQR'!$P102)</f>
        <v>0</v>
      </c>
      <c r="K102" s="20">
        <f>MEDIAN('converted2usd+IQR'!K102, 'converted2usd+IQR'!$O102, 'converted2usd+IQR'!$P102)</f>
        <v>0</v>
      </c>
    </row>
    <row r="103" spans="1:11">
      <c r="A103" s="6" t="s">
        <v>101</v>
      </c>
      <c r="B103" s="20">
        <f>MEDIAN('converted2usd+IQR'!B103, 'converted2usd+IQR'!$O103, 'converted2usd+IQR'!$P103)</f>
        <v>0</v>
      </c>
      <c r="C103" s="20">
        <f>MEDIAN('converted2usd+IQR'!C103, 'converted2usd+IQR'!$O103, 'converted2usd+IQR'!$P103)</f>
        <v>0</v>
      </c>
      <c r="D103" s="20">
        <f>MEDIAN('converted2usd+IQR'!D103, 'converted2usd+IQR'!$O103, 'converted2usd+IQR'!$P103)</f>
        <v>0</v>
      </c>
      <c r="E103" s="20">
        <f>MEDIAN('converted2usd+IQR'!E103, 'converted2usd+IQR'!$O103, 'converted2usd+IQR'!$P103)</f>
        <v>0</v>
      </c>
      <c r="F103" s="20">
        <f>MEDIAN('converted2usd+IQR'!F103, 'converted2usd+IQR'!$O103, 'converted2usd+IQR'!$P103)</f>
        <v>0</v>
      </c>
      <c r="G103" s="20">
        <f>MEDIAN('converted2usd+IQR'!G103, 'converted2usd+IQR'!$O103, 'converted2usd+IQR'!$P103)</f>
        <v>0</v>
      </c>
      <c r="H103" s="20">
        <f>MEDIAN('converted2usd+IQR'!H103, 'converted2usd+IQR'!$O103, 'converted2usd+IQR'!$P103)</f>
        <v>0</v>
      </c>
      <c r="I103" s="20">
        <f>MEDIAN('converted2usd+IQR'!I103, 'converted2usd+IQR'!$O103, 'converted2usd+IQR'!$P103)</f>
        <v>0</v>
      </c>
      <c r="J103" s="20">
        <f>MEDIAN('converted2usd+IQR'!J103, 'converted2usd+IQR'!$O103, 'converted2usd+IQR'!$P103)</f>
        <v>0</v>
      </c>
      <c r="K103" s="20">
        <f>MEDIAN('converted2usd+IQR'!K103, 'converted2usd+IQR'!$O103, 'converted2usd+IQR'!$P103)</f>
        <v>0</v>
      </c>
    </row>
    <row r="104" spans="1:11">
      <c r="A104" s="5" t="s">
        <v>102</v>
      </c>
      <c r="B104" s="20">
        <f>MEDIAN('converted2usd+IQR'!B104, 'converted2usd+IQR'!$O104, 'converted2usd+IQR'!$P104)</f>
        <v>0</v>
      </c>
      <c r="C104" s="20">
        <f>MEDIAN('converted2usd+IQR'!C104, 'converted2usd+IQR'!$O104, 'converted2usd+IQR'!$P104)</f>
        <v>0</v>
      </c>
      <c r="D104" s="20">
        <f>MEDIAN('converted2usd+IQR'!D104, 'converted2usd+IQR'!$O104, 'converted2usd+IQR'!$P104)</f>
        <v>0</v>
      </c>
      <c r="E104" s="20">
        <f>MEDIAN('converted2usd+IQR'!E104, 'converted2usd+IQR'!$O104, 'converted2usd+IQR'!$P104)</f>
        <v>0</v>
      </c>
      <c r="F104" s="20">
        <f>MEDIAN('converted2usd+IQR'!F104, 'converted2usd+IQR'!$O104, 'converted2usd+IQR'!$P104)</f>
        <v>0</v>
      </c>
      <c r="G104" s="20">
        <f>MEDIAN('converted2usd+IQR'!G104, 'converted2usd+IQR'!$O104, 'converted2usd+IQR'!$P104)</f>
        <v>0</v>
      </c>
      <c r="H104" s="20">
        <f>MEDIAN('converted2usd+IQR'!H104, 'converted2usd+IQR'!$O104, 'converted2usd+IQR'!$P104)</f>
        <v>0</v>
      </c>
      <c r="I104" s="20">
        <f>MEDIAN('converted2usd+IQR'!I104, 'converted2usd+IQR'!$O104, 'converted2usd+IQR'!$P104)</f>
        <v>0</v>
      </c>
      <c r="J104" s="20">
        <f>MEDIAN('converted2usd+IQR'!J104, 'converted2usd+IQR'!$O104, 'converted2usd+IQR'!$P104)</f>
        <v>0</v>
      </c>
      <c r="K104" s="20">
        <f>MEDIAN('converted2usd+IQR'!K104, 'converted2usd+IQR'!$O104, 'converted2usd+IQR'!$P104)</f>
        <v>0</v>
      </c>
    </row>
    <row r="105" spans="1:11">
      <c r="A105" s="6" t="s">
        <v>103</v>
      </c>
      <c r="B105" s="20">
        <f>MEDIAN('converted2usd+IQR'!B105, 'converted2usd+IQR'!$O105, 'converted2usd+IQR'!$P105)</f>
        <v>0</v>
      </c>
      <c r="C105" s="20">
        <f>MEDIAN('converted2usd+IQR'!C105, 'converted2usd+IQR'!$O105, 'converted2usd+IQR'!$P105)</f>
        <v>0</v>
      </c>
      <c r="D105" s="20">
        <f>MEDIAN('converted2usd+IQR'!D105, 'converted2usd+IQR'!$O105, 'converted2usd+IQR'!$P105)</f>
        <v>0</v>
      </c>
      <c r="E105" s="20">
        <f>MEDIAN('converted2usd+IQR'!E105, 'converted2usd+IQR'!$O105, 'converted2usd+IQR'!$P105)</f>
        <v>0</v>
      </c>
      <c r="F105" s="20">
        <f>MEDIAN('converted2usd+IQR'!F105, 'converted2usd+IQR'!$O105, 'converted2usd+IQR'!$P105)</f>
        <v>0</v>
      </c>
      <c r="G105" s="20">
        <f>MEDIAN('converted2usd+IQR'!G105, 'converted2usd+IQR'!$O105, 'converted2usd+IQR'!$P105)</f>
        <v>0</v>
      </c>
      <c r="H105" s="20">
        <f>MEDIAN('converted2usd+IQR'!H105, 'converted2usd+IQR'!$O105, 'converted2usd+IQR'!$P105)</f>
        <v>0</v>
      </c>
      <c r="I105" s="20">
        <f>MEDIAN('converted2usd+IQR'!I105, 'converted2usd+IQR'!$O105, 'converted2usd+IQR'!$P105)</f>
        <v>0</v>
      </c>
      <c r="J105" s="20">
        <f>MEDIAN('converted2usd+IQR'!J105, 'converted2usd+IQR'!$O105, 'converted2usd+IQR'!$P105)</f>
        <v>0</v>
      </c>
      <c r="K105" s="20">
        <f>MEDIAN('converted2usd+IQR'!K105, 'converted2usd+IQR'!$O105, 'converted2usd+IQR'!$P105)</f>
        <v>0</v>
      </c>
    </row>
    <row r="106" spans="1:11">
      <c r="A106" s="5" t="s">
        <v>104</v>
      </c>
      <c r="B106" s="20">
        <f>MEDIAN('converted2usd+IQR'!B106, 'converted2usd+IQR'!$O106, 'converted2usd+IQR'!$P106)</f>
        <v>0</v>
      </c>
      <c r="C106" s="20">
        <f>MEDIAN('converted2usd+IQR'!C106, 'converted2usd+IQR'!$O106, 'converted2usd+IQR'!$P106)</f>
        <v>0</v>
      </c>
      <c r="D106" s="20">
        <f>MEDIAN('converted2usd+IQR'!D106, 'converted2usd+IQR'!$O106, 'converted2usd+IQR'!$P106)</f>
        <v>0</v>
      </c>
      <c r="E106" s="20">
        <f>MEDIAN('converted2usd+IQR'!E106, 'converted2usd+IQR'!$O106, 'converted2usd+IQR'!$P106)</f>
        <v>0</v>
      </c>
      <c r="F106" s="20">
        <f>MEDIAN('converted2usd+IQR'!F106, 'converted2usd+IQR'!$O106, 'converted2usd+IQR'!$P106)</f>
        <v>0</v>
      </c>
      <c r="G106" s="20">
        <f>MEDIAN('converted2usd+IQR'!G106, 'converted2usd+IQR'!$O106, 'converted2usd+IQR'!$P106)</f>
        <v>0</v>
      </c>
      <c r="H106" s="20">
        <f>MEDIAN('converted2usd+IQR'!H106, 'converted2usd+IQR'!$O106, 'converted2usd+IQR'!$P106)</f>
        <v>0</v>
      </c>
      <c r="I106" s="20">
        <f>MEDIAN('converted2usd+IQR'!I106, 'converted2usd+IQR'!$O106, 'converted2usd+IQR'!$P106)</f>
        <v>0</v>
      </c>
      <c r="J106" s="20">
        <f>MEDIAN('converted2usd+IQR'!J106, 'converted2usd+IQR'!$O106, 'converted2usd+IQR'!$P106)</f>
        <v>0</v>
      </c>
      <c r="K106" s="20">
        <f>MEDIAN('converted2usd+IQR'!K106, 'converted2usd+IQR'!$O106, 'converted2usd+IQR'!$P106)</f>
        <v>0</v>
      </c>
    </row>
    <row r="107" spans="1:11">
      <c r="A107" s="6" t="s">
        <v>105</v>
      </c>
      <c r="B107" s="20">
        <f>MEDIAN('converted2usd+IQR'!B107, 'converted2usd+IQR'!$O107, 'converted2usd+IQR'!$P107)</f>
        <v>0</v>
      </c>
      <c r="C107" s="20">
        <f>MEDIAN('converted2usd+IQR'!C107, 'converted2usd+IQR'!$O107, 'converted2usd+IQR'!$P107)</f>
        <v>0</v>
      </c>
      <c r="D107" s="20">
        <f>MEDIAN('converted2usd+IQR'!D107, 'converted2usd+IQR'!$O107, 'converted2usd+IQR'!$P107)</f>
        <v>0</v>
      </c>
      <c r="E107" s="20">
        <f>MEDIAN('converted2usd+IQR'!E107, 'converted2usd+IQR'!$O107, 'converted2usd+IQR'!$P107)</f>
        <v>0</v>
      </c>
      <c r="F107" s="20">
        <f>MEDIAN('converted2usd+IQR'!F107, 'converted2usd+IQR'!$O107, 'converted2usd+IQR'!$P107)</f>
        <v>0</v>
      </c>
      <c r="G107" s="20">
        <f>MEDIAN('converted2usd+IQR'!G107, 'converted2usd+IQR'!$O107, 'converted2usd+IQR'!$P107)</f>
        <v>0</v>
      </c>
      <c r="H107" s="20">
        <f>MEDIAN('converted2usd+IQR'!H107, 'converted2usd+IQR'!$O107, 'converted2usd+IQR'!$P107)</f>
        <v>0</v>
      </c>
      <c r="I107" s="20">
        <f>MEDIAN('converted2usd+IQR'!I107, 'converted2usd+IQR'!$O107, 'converted2usd+IQR'!$P107)</f>
        <v>0</v>
      </c>
      <c r="J107" s="20">
        <f>MEDIAN('converted2usd+IQR'!J107, 'converted2usd+IQR'!$O107, 'converted2usd+IQR'!$P107)</f>
        <v>0</v>
      </c>
      <c r="K107" s="20">
        <f>MEDIAN('converted2usd+IQR'!K107, 'converted2usd+IQR'!$O107, 'converted2usd+IQR'!$P107)</f>
        <v>0</v>
      </c>
    </row>
    <row r="108" spans="1:11">
      <c r="A108" s="7" t="s">
        <v>106</v>
      </c>
      <c r="B108" s="20">
        <f>MEDIAN('converted2usd+IQR'!B108, 'converted2usd+IQR'!$O108, 'converted2usd+IQR'!$P108)</f>
        <v>283567.94315343251</v>
      </c>
      <c r="C108" s="20">
        <f>MEDIAN('converted2usd+IQR'!C108, 'converted2usd+IQR'!$O108, 'converted2usd+IQR'!$P108)</f>
        <v>281648.12883355434</v>
      </c>
      <c r="D108" s="20">
        <f>MEDIAN('converted2usd+IQR'!D108, 'converted2usd+IQR'!$O108, 'converted2usd+IQR'!$P108)</f>
        <v>269726.21061659249</v>
      </c>
      <c r="E108" s="20">
        <f>MEDIAN('converted2usd+IQR'!E108, 'converted2usd+IQR'!$O108, 'converted2usd+IQR'!$P108)</f>
        <v>221650.06513588113</v>
      </c>
      <c r="F108" s="20">
        <f>MEDIAN('converted2usd+IQR'!F108, 'converted2usd+IQR'!$O108, 'converted2usd+IQR'!$P108)</f>
        <v>279724.0818420921</v>
      </c>
      <c r="G108" s="20">
        <f>MEDIAN('converted2usd+IQR'!G108, 'converted2usd+IQR'!$O108, 'converted2usd+IQR'!$P108)</f>
        <v>253959.7961927985</v>
      </c>
      <c r="H108" s="20">
        <f>MEDIAN('converted2usd+IQR'!H108, 'converted2usd+IQR'!$O108, 'converted2usd+IQR'!$P108)</f>
        <v>167018.6065098008</v>
      </c>
      <c r="I108" s="20">
        <f>MEDIAN('converted2usd+IQR'!I108, 'converted2usd+IQR'!$O108, 'converted2usd+IQR'!$P108)</f>
        <v>172364.56089107523</v>
      </c>
      <c r="J108" s="20">
        <f>MEDIAN('converted2usd+IQR'!J108, 'converted2usd+IQR'!$O108, 'converted2usd+IQR'!$P108)</f>
        <v>172340.17949253874</v>
      </c>
      <c r="K108" s="20">
        <f>MEDIAN('converted2usd+IQR'!K108, 'converted2usd+IQR'!$O108, 'converted2usd+IQR'!$P108)</f>
        <v>318216.65222134185</v>
      </c>
    </row>
    <row r="109" spans="1:11">
      <c r="A109" s="6" t="s">
        <v>107</v>
      </c>
      <c r="B109" s="20">
        <f>MEDIAN('converted2usd+IQR'!B109, 'converted2usd+IQR'!$O109, 'converted2usd+IQR'!$P109)</f>
        <v>0</v>
      </c>
      <c r="C109" s="20">
        <f>MEDIAN('converted2usd+IQR'!C109, 'converted2usd+IQR'!$O109, 'converted2usd+IQR'!$P109)</f>
        <v>0</v>
      </c>
      <c r="D109" s="20">
        <f>MEDIAN('converted2usd+IQR'!D109, 'converted2usd+IQR'!$O109, 'converted2usd+IQR'!$P109)</f>
        <v>0</v>
      </c>
      <c r="E109" s="20">
        <f>MEDIAN('converted2usd+IQR'!E109, 'converted2usd+IQR'!$O109, 'converted2usd+IQR'!$P109)</f>
        <v>0</v>
      </c>
      <c r="F109" s="20">
        <f>MEDIAN('converted2usd+IQR'!F109, 'converted2usd+IQR'!$O109, 'converted2usd+IQR'!$P109)</f>
        <v>0</v>
      </c>
      <c r="G109" s="20">
        <f>MEDIAN('converted2usd+IQR'!G109, 'converted2usd+IQR'!$O109, 'converted2usd+IQR'!$P109)</f>
        <v>0</v>
      </c>
      <c r="H109" s="20">
        <f>MEDIAN('converted2usd+IQR'!H109, 'converted2usd+IQR'!$O109, 'converted2usd+IQR'!$P109)</f>
        <v>0</v>
      </c>
      <c r="I109" s="20">
        <f>MEDIAN('converted2usd+IQR'!I109, 'converted2usd+IQR'!$O109, 'converted2usd+IQR'!$P109)</f>
        <v>0</v>
      </c>
      <c r="J109" s="20">
        <f>MEDIAN('converted2usd+IQR'!J109, 'converted2usd+IQR'!$O109, 'converted2usd+IQR'!$P109)</f>
        <v>0</v>
      </c>
      <c r="K109" s="20">
        <f>MEDIAN('converted2usd+IQR'!K109, 'converted2usd+IQR'!$O109, 'converted2usd+IQR'!$P109)</f>
        <v>0</v>
      </c>
    </row>
    <row r="110" spans="1:11">
      <c r="A110" s="5" t="s">
        <v>108</v>
      </c>
      <c r="B110" s="20">
        <f>MEDIAN('converted2usd+IQR'!B110, 'converted2usd+IQR'!$O110, 'converted2usd+IQR'!$P110)</f>
        <v>38519.735425447507</v>
      </c>
      <c r="C110" s="20">
        <f>MEDIAN('converted2usd+IQR'!C110, 'converted2usd+IQR'!$O110, 'converted2usd+IQR'!$P110)</f>
        <v>16190.772860634293</v>
      </c>
      <c r="D110" s="20">
        <f>MEDIAN('converted2usd+IQR'!D110, 'converted2usd+IQR'!$O110, 'converted2usd+IQR'!$P110)</f>
        <v>26344.552212945488</v>
      </c>
      <c r="E110" s="20">
        <f>MEDIAN('converted2usd+IQR'!E110, 'converted2usd+IQR'!$O110, 'converted2usd+IQR'!$P110)</f>
        <v>37903.07222741744</v>
      </c>
      <c r="F110" s="20">
        <f>MEDIAN('converted2usd+IQR'!F110, 'converted2usd+IQR'!$O110, 'converted2usd+IQR'!$P110)</f>
        <v>51557.339127509535</v>
      </c>
      <c r="G110" s="20">
        <f>MEDIAN('converted2usd+IQR'!G110, 'converted2usd+IQR'!$O110, 'converted2usd+IQR'!$P110)</f>
        <v>37436.046045685311</v>
      </c>
      <c r="H110" s="20">
        <f>MEDIAN('converted2usd+IQR'!H110, 'converted2usd+IQR'!$O110, 'converted2usd+IQR'!$P110)</f>
        <v>18583.682728951397</v>
      </c>
      <c r="I110" s="20">
        <f>MEDIAN('converted2usd+IQR'!I110, 'converted2usd+IQR'!$O110, 'converted2usd+IQR'!$P110)</f>
        <v>2430.5437750434185</v>
      </c>
      <c r="J110" s="20">
        <f>MEDIAN('converted2usd+IQR'!J110, 'converted2usd+IQR'!$O110, 'converted2usd+IQR'!$P110)</f>
        <v>10948.122637921397</v>
      </c>
      <c r="K110" s="20">
        <f>MEDIAN('converted2usd+IQR'!K110, 'converted2usd+IQR'!$O110, 'converted2usd+IQR'!$P110)</f>
        <v>1223.4354194858215</v>
      </c>
    </row>
    <row r="111" spans="1:11">
      <c r="A111" s="7" t="s">
        <v>109</v>
      </c>
      <c r="B111" s="20">
        <f>MEDIAN('converted2usd+IQR'!B111, 'converted2usd+IQR'!$O111, 'converted2usd+IQR'!$P111)</f>
        <v>38566.73198562063</v>
      </c>
      <c r="C111" s="20">
        <f>MEDIAN('converted2usd+IQR'!C111, 'converted2usd+IQR'!$O111, 'converted2usd+IQR'!$P111)</f>
        <v>16190.772860634293</v>
      </c>
      <c r="D111" s="20">
        <f>MEDIAN('converted2usd+IQR'!D111, 'converted2usd+IQR'!$O111, 'converted2usd+IQR'!$P111)</f>
        <v>26344.552212945488</v>
      </c>
      <c r="E111" s="20">
        <f>MEDIAN('converted2usd+IQR'!E111, 'converted2usd+IQR'!$O111, 'converted2usd+IQR'!$P111)</f>
        <v>37903.07222741744</v>
      </c>
      <c r="F111" s="20">
        <f>MEDIAN('converted2usd+IQR'!F111, 'converted2usd+IQR'!$O111, 'converted2usd+IQR'!$P111)</f>
        <v>51557.339127509535</v>
      </c>
      <c r="G111" s="20">
        <f>MEDIAN('converted2usd+IQR'!G111, 'converted2usd+IQR'!$O111, 'converted2usd+IQR'!$P111)</f>
        <v>37436.046045685311</v>
      </c>
      <c r="H111" s="20">
        <f>MEDIAN('converted2usd+IQR'!H111, 'converted2usd+IQR'!$O111, 'converted2usd+IQR'!$P111)</f>
        <v>18583.682728951397</v>
      </c>
      <c r="I111" s="20">
        <f>MEDIAN('converted2usd+IQR'!I111, 'converted2usd+IQR'!$O111, 'converted2usd+IQR'!$P111)</f>
        <v>2430.5437750434185</v>
      </c>
      <c r="J111" s="20">
        <f>MEDIAN('converted2usd+IQR'!J111, 'converted2usd+IQR'!$O111, 'converted2usd+IQR'!$P111)</f>
        <v>10948.122637921397</v>
      </c>
      <c r="K111" s="20">
        <f>MEDIAN('converted2usd+IQR'!K111, 'converted2usd+IQR'!$O111, 'converted2usd+IQR'!$P111)</f>
        <v>1223.4354194858215</v>
      </c>
    </row>
    <row r="112" spans="1:11">
      <c r="A112" s="5" t="s">
        <v>110</v>
      </c>
      <c r="B112" s="20">
        <f>MEDIAN('converted2usd+IQR'!B112, 'converted2usd+IQR'!$O112, 'converted2usd+IQR'!$P112)</f>
        <v>0</v>
      </c>
      <c r="C112" s="20">
        <f>MEDIAN('converted2usd+IQR'!C112, 'converted2usd+IQR'!$O112, 'converted2usd+IQR'!$P112)</f>
        <v>90.217834559529749</v>
      </c>
      <c r="D112" s="20">
        <f>MEDIAN('converted2usd+IQR'!D112, 'converted2usd+IQR'!$O112, 'converted2usd+IQR'!$P112)</f>
        <v>0</v>
      </c>
      <c r="E112" s="20">
        <f>MEDIAN('converted2usd+IQR'!E112, 'converted2usd+IQR'!$O112, 'converted2usd+IQR'!$P112)</f>
        <v>30.07261151984325</v>
      </c>
      <c r="F112" s="20">
        <f>MEDIAN('converted2usd+IQR'!F112, 'converted2usd+IQR'!$O112, 'converted2usd+IQR'!$P112)</f>
        <v>90.217834559529749</v>
      </c>
      <c r="G112" s="20">
        <f>MEDIAN('converted2usd+IQR'!G112, 'converted2usd+IQR'!$O112, 'converted2usd+IQR'!$P112)</f>
        <v>0</v>
      </c>
      <c r="H112" s="20">
        <f>MEDIAN('converted2usd+IQR'!H112, 'converted2usd+IQR'!$O112, 'converted2usd+IQR'!$P112)</f>
        <v>0</v>
      </c>
      <c r="I112" s="20">
        <f>MEDIAN('converted2usd+IQR'!I112, 'converted2usd+IQR'!$O112, 'converted2usd+IQR'!$P112)</f>
        <v>0</v>
      </c>
      <c r="J112" s="20">
        <f>MEDIAN('converted2usd+IQR'!J112, 'converted2usd+IQR'!$O112, 'converted2usd+IQR'!$P112)</f>
        <v>0</v>
      </c>
      <c r="K112" s="20">
        <f>MEDIAN('converted2usd+IQR'!K112, 'converted2usd+IQR'!$O112, 'converted2usd+IQR'!$P112)</f>
        <v>0</v>
      </c>
    </row>
    <row r="113" spans="1:11">
      <c r="A113" s="6" t="s">
        <v>111</v>
      </c>
      <c r="B113" s="20">
        <f>MEDIAN('converted2usd+IQR'!B113, 'converted2usd+IQR'!$O113, 'converted2usd+IQR'!$P113)</f>
        <v>0</v>
      </c>
      <c r="C113" s="20">
        <f>MEDIAN('converted2usd+IQR'!C113, 'converted2usd+IQR'!$O113, 'converted2usd+IQR'!$P113)</f>
        <v>0</v>
      </c>
      <c r="D113" s="20">
        <f>MEDIAN('converted2usd+IQR'!D113, 'converted2usd+IQR'!$O113, 'converted2usd+IQR'!$P113)</f>
        <v>0</v>
      </c>
      <c r="E113" s="20">
        <f>MEDIAN('converted2usd+IQR'!E113, 'converted2usd+IQR'!$O113, 'converted2usd+IQR'!$P113)</f>
        <v>0</v>
      </c>
      <c r="F113" s="20">
        <f>MEDIAN('converted2usd+IQR'!F113, 'converted2usd+IQR'!$O113, 'converted2usd+IQR'!$P113)</f>
        <v>0</v>
      </c>
      <c r="G113" s="20">
        <f>MEDIAN('converted2usd+IQR'!G113, 'converted2usd+IQR'!$O113, 'converted2usd+IQR'!$P113)</f>
        <v>0</v>
      </c>
      <c r="H113" s="20">
        <f>MEDIAN('converted2usd+IQR'!H113, 'converted2usd+IQR'!$O113, 'converted2usd+IQR'!$P113)</f>
        <v>0</v>
      </c>
      <c r="I113" s="20">
        <f>MEDIAN('converted2usd+IQR'!I113, 'converted2usd+IQR'!$O113, 'converted2usd+IQR'!$P113)</f>
        <v>0</v>
      </c>
      <c r="J113" s="20">
        <f>MEDIAN('converted2usd+IQR'!J113, 'converted2usd+IQR'!$O113, 'converted2usd+IQR'!$P113)</f>
        <v>0</v>
      </c>
      <c r="K113" s="20">
        <f>MEDIAN('converted2usd+IQR'!K113, 'converted2usd+IQR'!$O113, 'converted2usd+IQR'!$P113)</f>
        <v>0</v>
      </c>
    </row>
    <row r="114" spans="1:11">
      <c r="A114" s="5" t="s">
        <v>112</v>
      </c>
      <c r="B114" s="20">
        <f>MEDIAN('converted2usd+IQR'!B114, 'converted2usd+IQR'!$O114, 'converted2usd+IQR'!$P114)</f>
        <v>0</v>
      </c>
      <c r="C114" s="20">
        <f>MEDIAN('converted2usd+IQR'!C114, 'converted2usd+IQR'!$O114, 'converted2usd+IQR'!$P114)</f>
        <v>0</v>
      </c>
      <c r="D114" s="20">
        <f>MEDIAN('converted2usd+IQR'!D114, 'converted2usd+IQR'!$O114, 'converted2usd+IQR'!$P114)</f>
        <v>0</v>
      </c>
      <c r="E114" s="20">
        <f>MEDIAN('converted2usd+IQR'!E114, 'converted2usd+IQR'!$O114, 'converted2usd+IQR'!$P114)</f>
        <v>0</v>
      </c>
      <c r="F114" s="20">
        <f>MEDIAN('converted2usd+IQR'!F114, 'converted2usd+IQR'!$O114, 'converted2usd+IQR'!$P114)</f>
        <v>0</v>
      </c>
      <c r="G114" s="20">
        <f>MEDIAN('converted2usd+IQR'!G114, 'converted2usd+IQR'!$O114, 'converted2usd+IQR'!$P114)</f>
        <v>0</v>
      </c>
      <c r="H114" s="20">
        <f>MEDIAN('converted2usd+IQR'!H114, 'converted2usd+IQR'!$O114, 'converted2usd+IQR'!$P114)</f>
        <v>0</v>
      </c>
      <c r="I114" s="20">
        <f>MEDIAN('converted2usd+IQR'!I114, 'converted2usd+IQR'!$O114, 'converted2usd+IQR'!$P114)</f>
        <v>0</v>
      </c>
      <c r="J114" s="20">
        <f>MEDIAN('converted2usd+IQR'!J114, 'converted2usd+IQR'!$O114, 'converted2usd+IQR'!$P114)</f>
        <v>0</v>
      </c>
      <c r="K114" s="20">
        <f>MEDIAN('converted2usd+IQR'!K114, 'converted2usd+IQR'!$O114, 'converted2usd+IQR'!$P114)</f>
        <v>0</v>
      </c>
    </row>
    <row r="115" spans="1:11">
      <c r="A115" s="6" t="s">
        <v>113</v>
      </c>
      <c r="B115" s="20">
        <f>MEDIAN('converted2usd+IQR'!B115, 'converted2usd+IQR'!$O115, 'converted2usd+IQR'!$P115)</f>
        <v>1272.7155257211991</v>
      </c>
      <c r="C115" s="20">
        <f>MEDIAN('converted2usd+IQR'!C115, 'converted2usd+IQR'!$O115, 'converted2usd+IQR'!$P115)</f>
        <v>957.77978122996149</v>
      </c>
      <c r="D115" s="20">
        <f>MEDIAN('converted2usd+IQR'!D115, 'converted2usd+IQR'!$O115, 'converted2usd+IQR'!$P115)</f>
        <v>772.00257915045688</v>
      </c>
      <c r="E115" s="20">
        <f>MEDIAN('converted2usd+IQR'!E115, 'converted2usd+IQR'!$O115, 'converted2usd+IQR'!$P115)</f>
        <v>405.83466901675223</v>
      </c>
      <c r="F115" s="20">
        <f>MEDIAN('converted2usd+IQR'!F115, 'converted2usd+IQR'!$O115, 'converted2usd+IQR'!$P115)</f>
        <v>229.00400069143799</v>
      </c>
      <c r="G115" s="20">
        <f>MEDIAN('converted2usd+IQR'!G115, 'converted2usd+IQR'!$O115, 'converted2usd+IQR'!$P115)</f>
        <v>115.42798498742859</v>
      </c>
      <c r="H115" s="20">
        <f>MEDIAN('converted2usd+IQR'!H115, 'converted2usd+IQR'!$O115, 'converted2usd+IQR'!$P115)</f>
        <v>32.938843420361451</v>
      </c>
      <c r="I115" s="20">
        <f>MEDIAN('converted2usd+IQR'!I115, 'converted2usd+IQR'!$O115, 'converted2usd+IQR'!$P115)</f>
        <v>0</v>
      </c>
      <c r="J115" s="20">
        <f>MEDIAN('converted2usd+IQR'!J115, 'converted2usd+IQR'!$O115, 'converted2usd+IQR'!$P115)</f>
        <v>0</v>
      </c>
      <c r="K115" s="20">
        <f>MEDIAN('converted2usd+IQR'!K115, 'converted2usd+IQR'!$O115, 'converted2usd+IQR'!$P115)</f>
        <v>0</v>
      </c>
    </row>
    <row r="116" spans="1:11">
      <c r="A116" s="5" t="s">
        <v>114</v>
      </c>
      <c r="B116" s="20">
        <f>MEDIAN('converted2usd+IQR'!B116, 'converted2usd+IQR'!$O116, 'converted2usd+IQR'!$P116)</f>
        <v>0</v>
      </c>
      <c r="C116" s="20">
        <f>MEDIAN('converted2usd+IQR'!C116, 'converted2usd+IQR'!$O116, 'converted2usd+IQR'!$P116)</f>
        <v>0</v>
      </c>
      <c r="D116" s="20">
        <f>MEDIAN('converted2usd+IQR'!D116, 'converted2usd+IQR'!$O116, 'converted2usd+IQR'!$P116)</f>
        <v>0</v>
      </c>
      <c r="E116" s="20">
        <f>MEDIAN('converted2usd+IQR'!E116, 'converted2usd+IQR'!$O116, 'converted2usd+IQR'!$P116)</f>
        <v>0</v>
      </c>
      <c r="F116" s="20">
        <f>MEDIAN('converted2usd+IQR'!F116, 'converted2usd+IQR'!$O116, 'converted2usd+IQR'!$P116)</f>
        <v>0</v>
      </c>
      <c r="G116" s="20">
        <f>MEDIAN('converted2usd+IQR'!G116, 'converted2usd+IQR'!$O116, 'converted2usd+IQR'!$P116)</f>
        <v>0</v>
      </c>
      <c r="H116" s="20">
        <f>MEDIAN('converted2usd+IQR'!H116, 'converted2usd+IQR'!$O116, 'converted2usd+IQR'!$P116)</f>
        <v>0</v>
      </c>
      <c r="I116" s="20">
        <f>MEDIAN('converted2usd+IQR'!I116, 'converted2usd+IQR'!$O116, 'converted2usd+IQR'!$P116)</f>
        <v>0</v>
      </c>
      <c r="J116" s="20">
        <f>MEDIAN('converted2usd+IQR'!J116, 'converted2usd+IQR'!$O116, 'converted2usd+IQR'!$P116)</f>
        <v>0</v>
      </c>
      <c r="K116" s="20">
        <f>MEDIAN('converted2usd+IQR'!K116, 'converted2usd+IQR'!$O116, 'converted2usd+IQR'!$P116)</f>
        <v>0</v>
      </c>
    </row>
    <row r="117" spans="1:11">
      <c r="A117" s="6" t="s">
        <v>115</v>
      </c>
      <c r="B117" s="20">
        <f>MEDIAN('converted2usd+IQR'!B117, 'converted2usd+IQR'!$O117, 'converted2usd+IQR'!$P117)</f>
        <v>0</v>
      </c>
      <c r="C117" s="20">
        <f>MEDIAN('converted2usd+IQR'!C117, 'converted2usd+IQR'!$O117, 'converted2usd+IQR'!$P117)</f>
        <v>0</v>
      </c>
      <c r="D117" s="20">
        <f>MEDIAN('converted2usd+IQR'!D117, 'converted2usd+IQR'!$O117, 'converted2usd+IQR'!$P117)</f>
        <v>0</v>
      </c>
      <c r="E117" s="20">
        <f>MEDIAN('converted2usd+IQR'!E117, 'converted2usd+IQR'!$O117, 'converted2usd+IQR'!$P117)</f>
        <v>0</v>
      </c>
      <c r="F117" s="20">
        <f>MEDIAN('converted2usd+IQR'!F117, 'converted2usd+IQR'!$O117, 'converted2usd+IQR'!$P117)</f>
        <v>0</v>
      </c>
      <c r="G117" s="20">
        <f>MEDIAN('converted2usd+IQR'!G117, 'converted2usd+IQR'!$O117, 'converted2usd+IQR'!$P117)</f>
        <v>0</v>
      </c>
      <c r="H117" s="20">
        <f>MEDIAN('converted2usd+IQR'!H117, 'converted2usd+IQR'!$O117, 'converted2usd+IQR'!$P117)</f>
        <v>0</v>
      </c>
      <c r="I117" s="20">
        <f>MEDIAN('converted2usd+IQR'!I117, 'converted2usd+IQR'!$O117, 'converted2usd+IQR'!$P117)</f>
        <v>0</v>
      </c>
      <c r="J117" s="20">
        <f>MEDIAN('converted2usd+IQR'!J117, 'converted2usd+IQR'!$O117, 'converted2usd+IQR'!$P117)</f>
        <v>0</v>
      </c>
      <c r="K117" s="20">
        <f>MEDIAN('converted2usd+IQR'!K117, 'converted2usd+IQR'!$O117, 'converted2usd+IQR'!$P117)</f>
        <v>0</v>
      </c>
    </row>
    <row r="118" spans="1:11">
      <c r="A118" s="5" t="s">
        <v>116</v>
      </c>
      <c r="B118" s="20">
        <f>MEDIAN('converted2usd+IQR'!B118, 'converted2usd+IQR'!$O118, 'converted2usd+IQR'!$P118)</f>
        <v>0</v>
      </c>
      <c r="C118" s="20">
        <f>MEDIAN('converted2usd+IQR'!C118, 'converted2usd+IQR'!$O118, 'converted2usd+IQR'!$P118)</f>
        <v>0</v>
      </c>
      <c r="D118" s="20">
        <f>MEDIAN('converted2usd+IQR'!D118, 'converted2usd+IQR'!$O118, 'converted2usd+IQR'!$P118)</f>
        <v>0</v>
      </c>
      <c r="E118" s="20">
        <f>MEDIAN('converted2usd+IQR'!E118, 'converted2usd+IQR'!$O118, 'converted2usd+IQR'!$P118)</f>
        <v>0</v>
      </c>
      <c r="F118" s="20">
        <f>MEDIAN('converted2usd+IQR'!F118, 'converted2usd+IQR'!$O118, 'converted2usd+IQR'!$P118)</f>
        <v>0</v>
      </c>
      <c r="G118" s="20">
        <f>MEDIAN('converted2usd+IQR'!G118, 'converted2usd+IQR'!$O118, 'converted2usd+IQR'!$P118)</f>
        <v>0</v>
      </c>
      <c r="H118" s="20">
        <f>MEDIAN('converted2usd+IQR'!H118, 'converted2usd+IQR'!$O118, 'converted2usd+IQR'!$P118)</f>
        <v>0</v>
      </c>
      <c r="I118" s="20">
        <f>MEDIAN('converted2usd+IQR'!I118, 'converted2usd+IQR'!$O118, 'converted2usd+IQR'!$P118)</f>
        <v>0</v>
      </c>
      <c r="J118" s="20">
        <f>MEDIAN('converted2usd+IQR'!J118, 'converted2usd+IQR'!$O118, 'converted2usd+IQR'!$P118)</f>
        <v>0</v>
      </c>
      <c r="K118" s="20">
        <f>MEDIAN('converted2usd+IQR'!K118, 'converted2usd+IQR'!$O118, 'converted2usd+IQR'!$P118)</f>
        <v>0</v>
      </c>
    </row>
    <row r="119" spans="1:11">
      <c r="A119" s="6" t="s">
        <v>117</v>
      </c>
      <c r="B119" s="20">
        <f>MEDIAN('converted2usd+IQR'!B119, 'converted2usd+IQR'!$O119, 'converted2usd+IQR'!$P119)</f>
        <v>0</v>
      </c>
      <c r="C119" s="20">
        <f>MEDIAN('converted2usd+IQR'!C119, 'converted2usd+IQR'!$O119, 'converted2usd+IQR'!$P119)</f>
        <v>0</v>
      </c>
      <c r="D119" s="20">
        <f>MEDIAN('converted2usd+IQR'!D119, 'converted2usd+IQR'!$O119, 'converted2usd+IQR'!$P119)</f>
        <v>0</v>
      </c>
      <c r="E119" s="20">
        <f>MEDIAN('converted2usd+IQR'!E119, 'converted2usd+IQR'!$O119, 'converted2usd+IQR'!$P119)</f>
        <v>0</v>
      </c>
      <c r="F119" s="20">
        <f>MEDIAN('converted2usd+IQR'!F119, 'converted2usd+IQR'!$O119, 'converted2usd+IQR'!$P119)</f>
        <v>0</v>
      </c>
      <c r="G119" s="20">
        <f>MEDIAN('converted2usd+IQR'!G119, 'converted2usd+IQR'!$O119, 'converted2usd+IQR'!$P119)</f>
        <v>0</v>
      </c>
      <c r="H119" s="20">
        <f>MEDIAN('converted2usd+IQR'!H119, 'converted2usd+IQR'!$O119, 'converted2usd+IQR'!$P119)</f>
        <v>0</v>
      </c>
      <c r="I119" s="20">
        <f>MEDIAN('converted2usd+IQR'!I119, 'converted2usd+IQR'!$O119, 'converted2usd+IQR'!$P119)</f>
        <v>0</v>
      </c>
      <c r="J119" s="20">
        <f>MEDIAN('converted2usd+IQR'!J119, 'converted2usd+IQR'!$O119, 'converted2usd+IQR'!$P119)</f>
        <v>0</v>
      </c>
      <c r="K119" s="20">
        <f>MEDIAN('converted2usd+IQR'!K119, 'converted2usd+IQR'!$O119, 'converted2usd+IQR'!$P119)</f>
        <v>0</v>
      </c>
    </row>
    <row r="120" spans="1:11">
      <c r="A120" s="5" t="s">
        <v>118</v>
      </c>
      <c r="B120" s="20">
        <f>MEDIAN('converted2usd+IQR'!B120, 'converted2usd+IQR'!$O120, 'converted2usd+IQR'!$P120)</f>
        <v>0</v>
      </c>
      <c r="C120" s="20">
        <f>MEDIAN('converted2usd+IQR'!C120, 'converted2usd+IQR'!$O120, 'converted2usd+IQR'!$P120)</f>
        <v>0</v>
      </c>
      <c r="D120" s="20">
        <f>MEDIAN('converted2usd+IQR'!D120, 'converted2usd+IQR'!$O120, 'converted2usd+IQR'!$P120)</f>
        <v>0</v>
      </c>
      <c r="E120" s="20">
        <f>MEDIAN('converted2usd+IQR'!E120, 'converted2usd+IQR'!$O120, 'converted2usd+IQR'!$P120)</f>
        <v>0</v>
      </c>
      <c r="F120" s="20">
        <f>MEDIAN('converted2usd+IQR'!F120, 'converted2usd+IQR'!$O120, 'converted2usd+IQR'!$P120)</f>
        <v>0</v>
      </c>
      <c r="G120" s="20">
        <f>MEDIAN('converted2usd+IQR'!G120, 'converted2usd+IQR'!$O120, 'converted2usd+IQR'!$P120)</f>
        <v>0</v>
      </c>
      <c r="H120" s="20">
        <f>MEDIAN('converted2usd+IQR'!H120, 'converted2usd+IQR'!$O120, 'converted2usd+IQR'!$P120)</f>
        <v>0</v>
      </c>
      <c r="I120" s="20">
        <f>MEDIAN('converted2usd+IQR'!I120, 'converted2usd+IQR'!$O120, 'converted2usd+IQR'!$P120)</f>
        <v>0</v>
      </c>
      <c r="J120" s="20">
        <f>MEDIAN('converted2usd+IQR'!J120, 'converted2usd+IQR'!$O120, 'converted2usd+IQR'!$P120)</f>
        <v>0</v>
      </c>
      <c r="K120" s="20">
        <f>MEDIAN('converted2usd+IQR'!K120, 'converted2usd+IQR'!$O120, 'converted2usd+IQR'!$P120)</f>
        <v>0</v>
      </c>
    </row>
    <row r="121" spans="1:11">
      <c r="A121" s="6" t="s">
        <v>119</v>
      </c>
      <c r="B121" s="20">
        <f>MEDIAN('converted2usd+IQR'!B121, 'converted2usd+IQR'!$O121, 'converted2usd+IQR'!$P121)</f>
        <v>0</v>
      </c>
      <c r="C121" s="20">
        <f>MEDIAN('converted2usd+IQR'!C121, 'converted2usd+IQR'!$O121, 'converted2usd+IQR'!$P121)</f>
        <v>0</v>
      </c>
      <c r="D121" s="20">
        <f>MEDIAN('converted2usd+IQR'!D121, 'converted2usd+IQR'!$O121, 'converted2usd+IQR'!$P121)</f>
        <v>0</v>
      </c>
      <c r="E121" s="20">
        <f>MEDIAN('converted2usd+IQR'!E121, 'converted2usd+IQR'!$O121, 'converted2usd+IQR'!$P121)</f>
        <v>0</v>
      </c>
      <c r="F121" s="20">
        <f>MEDIAN('converted2usd+IQR'!F121, 'converted2usd+IQR'!$O121, 'converted2usd+IQR'!$P121)</f>
        <v>0</v>
      </c>
      <c r="G121" s="20">
        <f>MEDIAN('converted2usd+IQR'!G121, 'converted2usd+IQR'!$O121, 'converted2usd+IQR'!$P121)</f>
        <v>0</v>
      </c>
      <c r="H121" s="20">
        <f>MEDIAN('converted2usd+IQR'!H121, 'converted2usd+IQR'!$O121, 'converted2usd+IQR'!$P121)</f>
        <v>0</v>
      </c>
      <c r="I121" s="20">
        <f>MEDIAN('converted2usd+IQR'!I121, 'converted2usd+IQR'!$O121, 'converted2usd+IQR'!$P121)</f>
        <v>0</v>
      </c>
      <c r="J121" s="20">
        <f>MEDIAN('converted2usd+IQR'!J121, 'converted2usd+IQR'!$O121, 'converted2usd+IQR'!$P121)</f>
        <v>0</v>
      </c>
      <c r="K121" s="20">
        <f>MEDIAN('converted2usd+IQR'!K121, 'converted2usd+IQR'!$O121, 'converted2usd+IQR'!$P121)</f>
        <v>0</v>
      </c>
    </row>
    <row r="122" spans="1:11">
      <c r="A122" s="7" t="s">
        <v>120</v>
      </c>
      <c r="B122" s="20">
        <f>MEDIAN('converted2usd+IQR'!B122, 'converted2usd+IQR'!$O122, 'converted2usd+IQR'!$P122)</f>
        <v>2727.2108854226954</v>
      </c>
      <c r="C122" s="20">
        <f>MEDIAN('converted2usd+IQR'!C122, 'converted2usd+IQR'!$O122, 'converted2usd+IQR'!$P122)</f>
        <v>1175.7582429608383</v>
      </c>
      <c r="D122" s="20">
        <f>MEDIAN('converted2usd+IQR'!D122, 'converted2usd+IQR'!$O122, 'converted2usd+IQR'!$P122)</f>
        <v>772.00257915045688</v>
      </c>
      <c r="E122" s="20">
        <f>MEDIAN('converted2usd+IQR'!E122, 'converted2usd+IQR'!$O122, 'converted2usd+IQR'!$P122)</f>
        <v>435.90728053659552</v>
      </c>
      <c r="F122" s="20">
        <f>MEDIAN('converted2usd+IQR'!F122, 'converted2usd+IQR'!$O122, 'converted2usd+IQR'!$P122)</f>
        <v>332.31378252994915</v>
      </c>
      <c r="G122" s="20">
        <f>MEDIAN('converted2usd+IQR'!G122, 'converted2usd+IQR'!$O122, 'converted2usd+IQR'!$P122)</f>
        <v>115.42798498742859</v>
      </c>
      <c r="H122" s="20">
        <f>MEDIAN('converted2usd+IQR'!H122, 'converted2usd+IQR'!$O122, 'converted2usd+IQR'!$P122)</f>
        <v>32.938843420361451</v>
      </c>
      <c r="I122" s="20">
        <f>MEDIAN('converted2usd+IQR'!I122, 'converted2usd+IQR'!$O122, 'converted2usd+IQR'!$P122)</f>
        <v>0</v>
      </c>
      <c r="J122" s="20">
        <f>MEDIAN('converted2usd+IQR'!J122, 'converted2usd+IQR'!$O122, 'converted2usd+IQR'!$P122)</f>
        <v>0</v>
      </c>
      <c r="K122" s="20">
        <f>MEDIAN('converted2usd+IQR'!K122, 'converted2usd+IQR'!$O122, 'converted2usd+IQR'!$P122)</f>
        <v>0</v>
      </c>
    </row>
    <row r="123" spans="1:11">
      <c r="A123" s="6" t="s">
        <v>121</v>
      </c>
      <c r="B123" s="20">
        <f>MEDIAN('converted2usd+IQR'!B123, 'converted2usd+IQR'!$O123, 'converted2usd+IQR'!$P123)</f>
        <v>24214.309187974279</v>
      </c>
      <c r="C123" s="20">
        <f>MEDIAN('converted2usd+IQR'!C123, 'converted2usd+IQR'!$O123, 'converted2usd+IQR'!$P123)</f>
        <v>56061.830101463405</v>
      </c>
      <c r="D123" s="20">
        <f>MEDIAN('converted2usd+IQR'!D123, 'converted2usd+IQR'!$O123, 'converted2usd+IQR'!$P123)</f>
        <v>74688.365865611166</v>
      </c>
      <c r="E123" s="20">
        <f>MEDIAN('converted2usd+IQR'!E123, 'converted2usd+IQR'!$O123, 'converted2usd+IQR'!$P123)</f>
        <v>74847.399581436141</v>
      </c>
      <c r="F123" s="20">
        <f>MEDIAN('converted2usd+IQR'!F123, 'converted2usd+IQR'!$O123, 'converted2usd+IQR'!$P123)</f>
        <v>60216.098523839581</v>
      </c>
      <c r="G123" s="20">
        <f>MEDIAN('converted2usd+IQR'!G123, 'converted2usd+IQR'!$O123, 'converted2usd+IQR'!$P123)</f>
        <v>0</v>
      </c>
      <c r="H123" s="20">
        <f>MEDIAN('converted2usd+IQR'!H123, 'converted2usd+IQR'!$O123, 'converted2usd+IQR'!$P123)</f>
        <v>61242.647985539952</v>
      </c>
      <c r="I123" s="20">
        <f>MEDIAN('converted2usd+IQR'!I123, 'converted2usd+IQR'!$O123, 'converted2usd+IQR'!$P123)</f>
        <v>87628.123580382278</v>
      </c>
      <c r="J123" s="20">
        <f>MEDIAN('converted2usd+IQR'!J123, 'converted2usd+IQR'!$O123, 'converted2usd+IQR'!$P123)</f>
        <v>13412.258582731485</v>
      </c>
      <c r="K123" s="20">
        <f>MEDIAN('converted2usd+IQR'!K123, 'converted2usd+IQR'!$O123, 'converted2usd+IQR'!$P123)</f>
        <v>0</v>
      </c>
    </row>
    <row r="124" spans="1:11">
      <c r="A124" s="5" t="s">
        <v>122</v>
      </c>
      <c r="B124" s="20">
        <f>MEDIAN('converted2usd+IQR'!B124, 'converted2usd+IQR'!$O124, 'converted2usd+IQR'!$P124)</f>
        <v>0</v>
      </c>
      <c r="C124" s="20">
        <f>MEDIAN('converted2usd+IQR'!C124, 'converted2usd+IQR'!$O124, 'converted2usd+IQR'!$P124)</f>
        <v>0</v>
      </c>
      <c r="D124" s="20">
        <f>MEDIAN('converted2usd+IQR'!D124, 'converted2usd+IQR'!$O124, 'converted2usd+IQR'!$P124)</f>
        <v>0</v>
      </c>
      <c r="E124" s="20">
        <f>MEDIAN('converted2usd+IQR'!E124, 'converted2usd+IQR'!$O124, 'converted2usd+IQR'!$P124)</f>
        <v>0</v>
      </c>
      <c r="F124" s="20">
        <f>MEDIAN('converted2usd+IQR'!F124, 'converted2usd+IQR'!$O124, 'converted2usd+IQR'!$P124)</f>
        <v>0</v>
      </c>
      <c r="G124" s="20">
        <f>MEDIAN('converted2usd+IQR'!G124, 'converted2usd+IQR'!$O124, 'converted2usd+IQR'!$P124)</f>
        <v>0</v>
      </c>
      <c r="H124" s="20">
        <f>MEDIAN('converted2usd+IQR'!H124, 'converted2usd+IQR'!$O124, 'converted2usd+IQR'!$P124)</f>
        <v>0</v>
      </c>
      <c r="I124" s="20">
        <f>MEDIAN('converted2usd+IQR'!I124, 'converted2usd+IQR'!$O124, 'converted2usd+IQR'!$P124)</f>
        <v>0</v>
      </c>
      <c r="J124" s="20">
        <f>MEDIAN('converted2usd+IQR'!J124, 'converted2usd+IQR'!$O124, 'converted2usd+IQR'!$P124)</f>
        <v>0</v>
      </c>
      <c r="K124" s="20">
        <f>MEDIAN('converted2usd+IQR'!K124, 'converted2usd+IQR'!$O124, 'converted2usd+IQR'!$P124)</f>
        <v>0</v>
      </c>
    </row>
    <row r="125" spans="1:11">
      <c r="A125" s="6" t="s">
        <v>123</v>
      </c>
      <c r="B125" s="20">
        <f>MEDIAN('converted2usd+IQR'!B125, 'converted2usd+IQR'!$O125, 'converted2usd+IQR'!$P125)</f>
        <v>0</v>
      </c>
      <c r="C125" s="20">
        <f>MEDIAN('converted2usd+IQR'!C125, 'converted2usd+IQR'!$O125, 'converted2usd+IQR'!$P125)</f>
        <v>0</v>
      </c>
      <c r="D125" s="20">
        <f>MEDIAN('converted2usd+IQR'!D125, 'converted2usd+IQR'!$O125, 'converted2usd+IQR'!$P125)</f>
        <v>0</v>
      </c>
      <c r="E125" s="20">
        <f>MEDIAN('converted2usd+IQR'!E125, 'converted2usd+IQR'!$O125, 'converted2usd+IQR'!$P125)</f>
        <v>0</v>
      </c>
      <c r="F125" s="20">
        <f>MEDIAN('converted2usd+IQR'!F125, 'converted2usd+IQR'!$O125, 'converted2usd+IQR'!$P125)</f>
        <v>0</v>
      </c>
      <c r="G125" s="20">
        <f>MEDIAN('converted2usd+IQR'!G125, 'converted2usd+IQR'!$O125, 'converted2usd+IQR'!$P125)</f>
        <v>0</v>
      </c>
      <c r="H125" s="20">
        <f>MEDIAN('converted2usd+IQR'!H125, 'converted2usd+IQR'!$O125, 'converted2usd+IQR'!$P125)</f>
        <v>0</v>
      </c>
      <c r="I125" s="20">
        <f>MEDIAN('converted2usd+IQR'!I125, 'converted2usd+IQR'!$O125, 'converted2usd+IQR'!$P125)</f>
        <v>0</v>
      </c>
      <c r="J125" s="20">
        <f>MEDIAN('converted2usd+IQR'!J125, 'converted2usd+IQR'!$O125, 'converted2usd+IQR'!$P125)</f>
        <v>0</v>
      </c>
      <c r="K125" s="20">
        <f>MEDIAN('converted2usd+IQR'!K125, 'converted2usd+IQR'!$O125, 'converted2usd+IQR'!$P125)</f>
        <v>0</v>
      </c>
    </row>
    <row r="126" spans="1:11">
      <c r="A126" s="5" t="s">
        <v>124</v>
      </c>
      <c r="B126" s="20">
        <f>MEDIAN('converted2usd+IQR'!B126, 'converted2usd+IQR'!$O126, 'converted2usd+IQR'!$P126)</f>
        <v>0</v>
      </c>
      <c r="C126" s="20">
        <f>MEDIAN('converted2usd+IQR'!C126, 'converted2usd+IQR'!$O126, 'converted2usd+IQR'!$P126)</f>
        <v>0</v>
      </c>
      <c r="D126" s="20">
        <f>MEDIAN('converted2usd+IQR'!D126, 'converted2usd+IQR'!$O126, 'converted2usd+IQR'!$P126)</f>
        <v>0</v>
      </c>
      <c r="E126" s="20">
        <f>MEDIAN('converted2usd+IQR'!E126, 'converted2usd+IQR'!$O126, 'converted2usd+IQR'!$P126)</f>
        <v>0</v>
      </c>
      <c r="F126" s="20">
        <f>MEDIAN('converted2usd+IQR'!F126, 'converted2usd+IQR'!$O126, 'converted2usd+IQR'!$P126)</f>
        <v>0</v>
      </c>
      <c r="G126" s="20">
        <f>MEDIAN('converted2usd+IQR'!G126, 'converted2usd+IQR'!$O126, 'converted2usd+IQR'!$P126)</f>
        <v>0</v>
      </c>
      <c r="H126" s="20">
        <f>MEDIAN('converted2usd+IQR'!H126, 'converted2usd+IQR'!$O126, 'converted2usd+IQR'!$P126)</f>
        <v>0</v>
      </c>
      <c r="I126" s="20">
        <f>MEDIAN('converted2usd+IQR'!I126, 'converted2usd+IQR'!$O126, 'converted2usd+IQR'!$P126)</f>
        <v>0</v>
      </c>
      <c r="J126" s="20">
        <f>MEDIAN('converted2usd+IQR'!J126, 'converted2usd+IQR'!$O126, 'converted2usd+IQR'!$P126)</f>
        <v>0</v>
      </c>
      <c r="K126" s="20">
        <f>MEDIAN('converted2usd+IQR'!K126, 'converted2usd+IQR'!$O126, 'converted2usd+IQR'!$P126)</f>
        <v>0</v>
      </c>
    </row>
    <row r="127" spans="1:11">
      <c r="A127" s="6" t="s">
        <v>125</v>
      </c>
      <c r="B127" s="20">
        <f>MEDIAN('converted2usd+IQR'!B127, 'converted2usd+IQR'!$O127, 'converted2usd+IQR'!$P127)</f>
        <v>0</v>
      </c>
      <c r="C127" s="20">
        <f>MEDIAN('converted2usd+IQR'!C127, 'converted2usd+IQR'!$O127, 'converted2usd+IQR'!$P127)</f>
        <v>0</v>
      </c>
      <c r="D127" s="20">
        <f>MEDIAN('converted2usd+IQR'!D127, 'converted2usd+IQR'!$O127, 'converted2usd+IQR'!$P127)</f>
        <v>0</v>
      </c>
      <c r="E127" s="20">
        <f>MEDIAN('converted2usd+IQR'!E127, 'converted2usd+IQR'!$O127, 'converted2usd+IQR'!$P127)</f>
        <v>0</v>
      </c>
      <c r="F127" s="20">
        <f>MEDIAN('converted2usd+IQR'!F127, 'converted2usd+IQR'!$O127, 'converted2usd+IQR'!$P127)</f>
        <v>0</v>
      </c>
      <c r="G127" s="20">
        <f>MEDIAN('converted2usd+IQR'!G127, 'converted2usd+IQR'!$O127, 'converted2usd+IQR'!$P127)</f>
        <v>0</v>
      </c>
      <c r="H127" s="20">
        <f>MEDIAN('converted2usd+IQR'!H127, 'converted2usd+IQR'!$O127, 'converted2usd+IQR'!$P127)</f>
        <v>0</v>
      </c>
      <c r="I127" s="20">
        <f>MEDIAN('converted2usd+IQR'!I127, 'converted2usd+IQR'!$O127, 'converted2usd+IQR'!$P127)</f>
        <v>0</v>
      </c>
      <c r="J127" s="20">
        <f>MEDIAN('converted2usd+IQR'!J127, 'converted2usd+IQR'!$O127, 'converted2usd+IQR'!$P127)</f>
        <v>0</v>
      </c>
      <c r="K127" s="20">
        <f>MEDIAN('converted2usd+IQR'!K127, 'converted2usd+IQR'!$O127, 'converted2usd+IQR'!$P127)</f>
        <v>0</v>
      </c>
    </row>
    <row r="128" spans="1:11">
      <c r="A128" s="5" t="s">
        <v>126</v>
      </c>
      <c r="B128" s="20">
        <f>MEDIAN('converted2usd+IQR'!B128, 'converted2usd+IQR'!$O128, 'converted2usd+IQR'!$P128)</f>
        <v>0</v>
      </c>
      <c r="C128" s="20">
        <f>MEDIAN('converted2usd+IQR'!C128, 'converted2usd+IQR'!$O128, 'converted2usd+IQR'!$P128)</f>
        <v>0</v>
      </c>
      <c r="D128" s="20">
        <f>MEDIAN('converted2usd+IQR'!D128, 'converted2usd+IQR'!$O128, 'converted2usd+IQR'!$P128)</f>
        <v>0</v>
      </c>
      <c r="E128" s="20">
        <f>MEDIAN('converted2usd+IQR'!E128, 'converted2usd+IQR'!$O128, 'converted2usd+IQR'!$P128)</f>
        <v>0</v>
      </c>
      <c r="F128" s="20">
        <f>MEDIAN('converted2usd+IQR'!F128, 'converted2usd+IQR'!$O128, 'converted2usd+IQR'!$P128)</f>
        <v>0</v>
      </c>
      <c r="G128" s="20">
        <f>MEDIAN('converted2usd+IQR'!G128, 'converted2usd+IQR'!$O128, 'converted2usd+IQR'!$P128)</f>
        <v>0</v>
      </c>
      <c r="H128" s="20">
        <f>MEDIAN('converted2usd+IQR'!H128, 'converted2usd+IQR'!$O128, 'converted2usd+IQR'!$P128)</f>
        <v>0</v>
      </c>
      <c r="I128" s="20">
        <f>MEDIAN('converted2usd+IQR'!I128, 'converted2usd+IQR'!$O128, 'converted2usd+IQR'!$P128)</f>
        <v>0</v>
      </c>
      <c r="J128" s="20">
        <f>MEDIAN('converted2usd+IQR'!J128, 'converted2usd+IQR'!$O128, 'converted2usd+IQR'!$P128)</f>
        <v>0</v>
      </c>
      <c r="K128" s="20">
        <f>MEDIAN('converted2usd+IQR'!K128, 'converted2usd+IQR'!$O128, 'converted2usd+IQR'!$P128)</f>
        <v>0</v>
      </c>
    </row>
    <row r="129" spans="1:11">
      <c r="A129" s="6" t="s">
        <v>127</v>
      </c>
      <c r="B129" s="20">
        <f>MEDIAN('converted2usd+IQR'!B129, 'converted2usd+IQR'!$O129, 'converted2usd+IQR'!$P129)</f>
        <v>0</v>
      </c>
      <c r="C129" s="20">
        <f>MEDIAN('converted2usd+IQR'!C129, 'converted2usd+IQR'!$O129, 'converted2usd+IQR'!$P129)</f>
        <v>0</v>
      </c>
      <c r="D129" s="20">
        <f>MEDIAN('converted2usd+IQR'!D129, 'converted2usd+IQR'!$O129, 'converted2usd+IQR'!$P129)</f>
        <v>0</v>
      </c>
      <c r="E129" s="20">
        <f>MEDIAN('converted2usd+IQR'!E129, 'converted2usd+IQR'!$O129, 'converted2usd+IQR'!$P129)</f>
        <v>0</v>
      </c>
      <c r="F129" s="20">
        <f>MEDIAN('converted2usd+IQR'!F129, 'converted2usd+IQR'!$O129, 'converted2usd+IQR'!$P129)</f>
        <v>0</v>
      </c>
      <c r="G129" s="20">
        <f>MEDIAN('converted2usd+IQR'!G129, 'converted2usd+IQR'!$O129, 'converted2usd+IQR'!$P129)</f>
        <v>0</v>
      </c>
      <c r="H129" s="20">
        <f>MEDIAN('converted2usd+IQR'!H129, 'converted2usd+IQR'!$O129, 'converted2usd+IQR'!$P129)</f>
        <v>0</v>
      </c>
      <c r="I129" s="20">
        <f>MEDIAN('converted2usd+IQR'!I129, 'converted2usd+IQR'!$O129, 'converted2usd+IQR'!$P129)</f>
        <v>0</v>
      </c>
      <c r="J129" s="20">
        <f>MEDIAN('converted2usd+IQR'!J129, 'converted2usd+IQR'!$O129, 'converted2usd+IQR'!$P129)</f>
        <v>0</v>
      </c>
      <c r="K129" s="20">
        <f>MEDIAN('converted2usd+IQR'!K129, 'converted2usd+IQR'!$O129, 'converted2usd+IQR'!$P129)</f>
        <v>0</v>
      </c>
    </row>
    <row r="130" spans="1:11">
      <c r="A130" s="5" t="s">
        <v>128</v>
      </c>
      <c r="B130" s="20">
        <f>MEDIAN('converted2usd+IQR'!B130, 'converted2usd+IQR'!$O130, 'converted2usd+IQR'!$P130)</f>
        <v>22823.186668733309</v>
      </c>
      <c r="C130" s="20">
        <f>MEDIAN('converted2usd+IQR'!C130, 'converted2usd+IQR'!$O130, 'converted2usd+IQR'!$P130)</f>
        <v>0</v>
      </c>
      <c r="D130" s="20">
        <f>MEDIAN('converted2usd+IQR'!D130, 'converted2usd+IQR'!$O130, 'converted2usd+IQR'!$P130)</f>
        <v>0</v>
      </c>
      <c r="E130" s="20">
        <f>MEDIAN('converted2usd+IQR'!E130, 'converted2usd+IQR'!$O130, 'converted2usd+IQR'!$P130)</f>
        <v>0</v>
      </c>
      <c r="F130" s="20">
        <f>MEDIAN('converted2usd+IQR'!F130, 'converted2usd+IQR'!$O130, 'converted2usd+IQR'!$P130)</f>
        <v>0</v>
      </c>
      <c r="G130" s="20">
        <f>MEDIAN('converted2usd+IQR'!G130, 'converted2usd+IQR'!$O130, 'converted2usd+IQR'!$P130)</f>
        <v>66515.919182135869</v>
      </c>
      <c r="H130" s="20">
        <f>MEDIAN('converted2usd+IQR'!H130, 'converted2usd+IQR'!$O130, 'converted2usd+IQR'!$P130)</f>
        <v>3695.9024333178618</v>
      </c>
      <c r="I130" s="20">
        <f>MEDIAN('converted2usd+IQR'!I130, 'converted2usd+IQR'!$O130, 'converted2usd+IQR'!$P130)</f>
        <v>3268.0311199661405</v>
      </c>
      <c r="J130" s="20">
        <f>MEDIAN('converted2usd+IQR'!J130, 'converted2usd+IQR'!$O130, 'converted2usd+IQR'!$P130)</f>
        <v>69986.960374670511</v>
      </c>
      <c r="K130" s="20">
        <f>MEDIAN('converted2usd+IQR'!K130, 'converted2usd+IQR'!$O130, 'converted2usd+IQR'!$P130)</f>
        <v>16025.207507226549</v>
      </c>
    </row>
    <row r="131" spans="1:11">
      <c r="A131" s="6" t="s">
        <v>129</v>
      </c>
      <c r="B131" s="20">
        <f>MEDIAN('converted2usd+IQR'!B131, 'converted2usd+IQR'!$O131, 'converted2usd+IQR'!$P131)</f>
        <v>0</v>
      </c>
      <c r="C131" s="20">
        <f>MEDIAN('converted2usd+IQR'!C131, 'converted2usd+IQR'!$O131, 'converted2usd+IQR'!$P131)</f>
        <v>0</v>
      </c>
      <c r="D131" s="20">
        <f>MEDIAN('converted2usd+IQR'!D131, 'converted2usd+IQR'!$O131, 'converted2usd+IQR'!$P131)</f>
        <v>0</v>
      </c>
      <c r="E131" s="20">
        <f>MEDIAN('converted2usd+IQR'!E131, 'converted2usd+IQR'!$O131, 'converted2usd+IQR'!$P131)</f>
        <v>0</v>
      </c>
      <c r="F131" s="20">
        <f>MEDIAN('converted2usd+IQR'!F131, 'converted2usd+IQR'!$O131, 'converted2usd+IQR'!$P131)</f>
        <v>0</v>
      </c>
      <c r="G131" s="20">
        <f>MEDIAN('converted2usd+IQR'!G131, 'converted2usd+IQR'!$O131, 'converted2usd+IQR'!$P131)</f>
        <v>0</v>
      </c>
      <c r="H131" s="20">
        <f>MEDIAN('converted2usd+IQR'!H131, 'converted2usd+IQR'!$O131, 'converted2usd+IQR'!$P131)</f>
        <v>0</v>
      </c>
      <c r="I131" s="20">
        <f>MEDIAN('converted2usd+IQR'!I131, 'converted2usd+IQR'!$O131, 'converted2usd+IQR'!$P131)</f>
        <v>0</v>
      </c>
      <c r="J131" s="20">
        <f>MEDIAN('converted2usd+IQR'!J131, 'converted2usd+IQR'!$O131, 'converted2usd+IQR'!$P131)</f>
        <v>0</v>
      </c>
      <c r="K131" s="20">
        <f>MEDIAN('converted2usd+IQR'!K131, 'converted2usd+IQR'!$O131, 'converted2usd+IQR'!$P131)</f>
        <v>0</v>
      </c>
    </row>
    <row r="132" spans="1:11">
      <c r="A132" s="5" t="s">
        <v>130</v>
      </c>
      <c r="B132" s="20">
        <f>MEDIAN('converted2usd+IQR'!B132, 'converted2usd+IQR'!$O132, 'converted2usd+IQR'!$P132)</f>
        <v>0</v>
      </c>
      <c r="C132" s="20">
        <f>MEDIAN('converted2usd+IQR'!C132, 'converted2usd+IQR'!$O132, 'converted2usd+IQR'!$P132)</f>
        <v>0</v>
      </c>
      <c r="D132" s="20">
        <f>MEDIAN('converted2usd+IQR'!D132, 'converted2usd+IQR'!$O132, 'converted2usd+IQR'!$P132)</f>
        <v>0</v>
      </c>
      <c r="E132" s="20">
        <f>MEDIAN('converted2usd+IQR'!E132, 'converted2usd+IQR'!$O132, 'converted2usd+IQR'!$P132)</f>
        <v>0</v>
      </c>
      <c r="F132" s="20">
        <f>MEDIAN('converted2usd+IQR'!F132, 'converted2usd+IQR'!$O132, 'converted2usd+IQR'!$P132)</f>
        <v>0</v>
      </c>
      <c r="G132" s="20">
        <f>MEDIAN('converted2usd+IQR'!G132, 'converted2usd+IQR'!$O132, 'converted2usd+IQR'!$P132)</f>
        <v>0</v>
      </c>
      <c r="H132" s="20">
        <f>MEDIAN('converted2usd+IQR'!H132, 'converted2usd+IQR'!$O132, 'converted2usd+IQR'!$P132)</f>
        <v>0</v>
      </c>
      <c r="I132" s="20">
        <f>MEDIAN('converted2usd+IQR'!I132, 'converted2usd+IQR'!$O132, 'converted2usd+IQR'!$P132)</f>
        <v>0</v>
      </c>
      <c r="J132" s="20">
        <f>MEDIAN('converted2usd+IQR'!J132, 'converted2usd+IQR'!$O132, 'converted2usd+IQR'!$P132)</f>
        <v>0</v>
      </c>
      <c r="K132" s="20">
        <f>MEDIAN('converted2usd+IQR'!K132, 'converted2usd+IQR'!$O132, 'converted2usd+IQR'!$P132)</f>
        <v>0</v>
      </c>
    </row>
    <row r="133" spans="1:11">
      <c r="A133" s="6" t="s">
        <v>131</v>
      </c>
      <c r="B133" s="20">
        <f>MEDIAN('converted2usd+IQR'!B133, 'converted2usd+IQR'!$O133, 'converted2usd+IQR'!$P133)</f>
        <v>0</v>
      </c>
      <c r="C133" s="20">
        <f>MEDIAN('converted2usd+IQR'!C133, 'converted2usd+IQR'!$O133, 'converted2usd+IQR'!$P133)</f>
        <v>0</v>
      </c>
      <c r="D133" s="20">
        <f>MEDIAN('converted2usd+IQR'!D133, 'converted2usd+IQR'!$O133, 'converted2usd+IQR'!$P133)</f>
        <v>0</v>
      </c>
      <c r="E133" s="20">
        <f>MEDIAN('converted2usd+IQR'!E133, 'converted2usd+IQR'!$O133, 'converted2usd+IQR'!$P133)</f>
        <v>0</v>
      </c>
      <c r="F133" s="20">
        <f>MEDIAN('converted2usd+IQR'!F133, 'converted2usd+IQR'!$O133, 'converted2usd+IQR'!$P133)</f>
        <v>0</v>
      </c>
      <c r="G133" s="20">
        <f>MEDIAN('converted2usd+IQR'!G133, 'converted2usd+IQR'!$O133, 'converted2usd+IQR'!$P133)</f>
        <v>0</v>
      </c>
      <c r="H133" s="20">
        <f>MEDIAN('converted2usd+IQR'!H133, 'converted2usd+IQR'!$O133, 'converted2usd+IQR'!$P133)</f>
        <v>0</v>
      </c>
      <c r="I133" s="20">
        <f>MEDIAN('converted2usd+IQR'!I133, 'converted2usd+IQR'!$O133, 'converted2usd+IQR'!$P133)</f>
        <v>0</v>
      </c>
      <c r="J133" s="20">
        <f>MEDIAN('converted2usd+IQR'!J133, 'converted2usd+IQR'!$O133, 'converted2usd+IQR'!$P133)</f>
        <v>0</v>
      </c>
      <c r="K133" s="20">
        <f>MEDIAN('converted2usd+IQR'!K133, 'converted2usd+IQR'!$O133, 'converted2usd+IQR'!$P133)</f>
        <v>0</v>
      </c>
    </row>
    <row r="134" spans="1:11">
      <c r="A134" s="5" t="s">
        <v>132</v>
      </c>
      <c r="B134" s="20">
        <f>MEDIAN('converted2usd+IQR'!B134, 'converted2usd+IQR'!$O134, 'converted2usd+IQR'!$P134)</f>
        <v>0</v>
      </c>
      <c r="C134" s="20">
        <f>MEDIAN('converted2usd+IQR'!C134, 'converted2usd+IQR'!$O134, 'converted2usd+IQR'!$P134)</f>
        <v>0</v>
      </c>
      <c r="D134" s="20">
        <f>MEDIAN('converted2usd+IQR'!D134, 'converted2usd+IQR'!$O134, 'converted2usd+IQR'!$P134)</f>
        <v>0</v>
      </c>
      <c r="E134" s="20">
        <f>MEDIAN('converted2usd+IQR'!E134, 'converted2usd+IQR'!$O134, 'converted2usd+IQR'!$P134)</f>
        <v>0</v>
      </c>
      <c r="F134" s="20">
        <f>MEDIAN('converted2usd+IQR'!F134, 'converted2usd+IQR'!$O134, 'converted2usd+IQR'!$P134)</f>
        <v>0</v>
      </c>
      <c r="G134" s="20">
        <f>MEDIAN('converted2usd+IQR'!G134, 'converted2usd+IQR'!$O134, 'converted2usd+IQR'!$P134)</f>
        <v>0</v>
      </c>
      <c r="H134" s="20">
        <f>MEDIAN('converted2usd+IQR'!H134, 'converted2usd+IQR'!$O134, 'converted2usd+IQR'!$P134)</f>
        <v>0</v>
      </c>
      <c r="I134" s="20">
        <f>MEDIAN('converted2usd+IQR'!I134, 'converted2usd+IQR'!$O134, 'converted2usd+IQR'!$P134)</f>
        <v>0</v>
      </c>
      <c r="J134" s="20">
        <f>MEDIAN('converted2usd+IQR'!J134, 'converted2usd+IQR'!$O134, 'converted2usd+IQR'!$P134)</f>
        <v>0</v>
      </c>
      <c r="K134" s="20">
        <f>MEDIAN('converted2usd+IQR'!K134, 'converted2usd+IQR'!$O134, 'converted2usd+IQR'!$P134)</f>
        <v>0</v>
      </c>
    </row>
    <row r="135" spans="1:11">
      <c r="A135" s="7" t="s">
        <v>133</v>
      </c>
      <c r="B135" s="20">
        <f>MEDIAN('converted2usd+IQR'!B135, 'converted2usd+IQR'!$O135, 'converted2usd+IQR'!$P135)</f>
        <v>47248.654383841684</v>
      </c>
      <c r="C135" s="20">
        <f>MEDIAN('converted2usd+IQR'!C135, 'converted2usd+IQR'!$O135, 'converted2usd+IQR'!$P135)</f>
        <v>56169.302963661212</v>
      </c>
      <c r="D135" s="20">
        <f>MEDIAN('converted2usd+IQR'!D135, 'converted2usd+IQR'!$O135, 'converted2usd+IQR'!$P135)</f>
        <v>74688.365865611166</v>
      </c>
      <c r="E135" s="20">
        <f>MEDIAN('converted2usd+IQR'!E135, 'converted2usd+IQR'!$O135, 'converted2usd+IQR'!$P135)</f>
        <v>74847.399581436141</v>
      </c>
      <c r="F135" s="20">
        <f>MEDIAN('converted2usd+IQR'!F135, 'converted2usd+IQR'!$O135, 'converted2usd+IQR'!$P135)</f>
        <v>60216.098523839581</v>
      </c>
      <c r="G135" s="20">
        <f>MEDIAN('converted2usd+IQR'!G135, 'converted2usd+IQR'!$O135, 'converted2usd+IQR'!$P135)</f>
        <v>66515.919182135869</v>
      </c>
      <c r="H135" s="20">
        <f>MEDIAN('converted2usd+IQR'!H135, 'converted2usd+IQR'!$O135, 'converted2usd+IQR'!$P135)</f>
        <v>64938.550418857812</v>
      </c>
      <c r="I135" s="20">
        <f>MEDIAN('converted2usd+IQR'!I135, 'converted2usd+IQR'!$O135, 'converted2usd+IQR'!$P135)</f>
        <v>90896.154700348416</v>
      </c>
      <c r="J135" s="20">
        <f>MEDIAN('converted2usd+IQR'!J135, 'converted2usd+IQR'!$O135, 'converted2usd+IQR'!$P135)</f>
        <v>83399.218957402001</v>
      </c>
      <c r="K135" s="20">
        <f>MEDIAN('converted2usd+IQR'!K135, 'converted2usd+IQR'!$O135, 'converted2usd+IQR'!$P135)</f>
        <v>16025.207507226549</v>
      </c>
    </row>
    <row r="136" spans="1:11">
      <c r="A136" s="5" t="s">
        <v>134</v>
      </c>
      <c r="B136" s="20">
        <f>MEDIAN('converted2usd+IQR'!B136, 'converted2usd+IQR'!$O136, 'converted2usd+IQR'!$P136)</f>
        <v>0</v>
      </c>
      <c r="C136" s="20">
        <f>MEDIAN('converted2usd+IQR'!C136, 'converted2usd+IQR'!$O136, 'converted2usd+IQR'!$P136)</f>
        <v>0</v>
      </c>
      <c r="D136" s="20">
        <f>MEDIAN('converted2usd+IQR'!D136, 'converted2usd+IQR'!$O136, 'converted2usd+IQR'!$P136)</f>
        <v>0</v>
      </c>
      <c r="E136" s="20">
        <f>MEDIAN('converted2usd+IQR'!E136, 'converted2usd+IQR'!$O136, 'converted2usd+IQR'!$P136)</f>
        <v>0</v>
      </c>
      <c r="F136" s="20">
        <f>MEDIAN('converted2usd+IQR'!F136, 'converted2usd+IQR'!$O136, 'converted2usd+IQR'!$P136)</f>
        <v>0</v>
      </c>
      <c r="G136" s="20">
        <f>MEDIAN('converted2usd+IQR'!G136, 'converted2usd+IQR'!$O136, 'converted2usd+IQR'!$P136)</f>
        <v>0</v>
      </c>
      <c r="H136" s="20">
        <f>MEDIAN('converted2usd+IQR'!H136, 'converted2usd+IQR'!$O136, 'converted2usd+IQR'!$P136)</f>
        <v>0</v>
      </c>
      <c r="I136" s="20">
        <f>MEDIAN('converted2usd+IQR'!I136, 'converted2usd+IQR'!$O136, 'converted2usd+IQR'!$P136)</f>
        <v>0</v>
      </c>
      <c r="J136" s="20">
        <f>MEDIAN('converted2usd+IQR'!J136, 'converted2usd+IQR'!$O136, 'converted2usd+IQR'!$P136)</f>
        <v>0</v>
      </c>
      <c r="K136" s="20">
        <f>MEDIAN('converted2usd+IQR'!K136, 'converted2usd+IQR'!$O136, 'converted2usd+IQR'!$P136)</f>
        <v>0</v>
      </c>
    </row>
    <row r="137" spans="1:11">
      <c r="A137" s="6" t="s">
        <v>135</v>
      </c>
      <c r="B137" s="20">
        <f>MEDIAN('converted2usd+IQR'!B137, 'converted2usd+IQR'!$O137, 'converted2usd+IQR'!$P137)</f>
        <v>0</v>
      </c>
      <c r="C137" s="20">
        <f>MEDIAN('converted2usd+IQR'!C137, 'converted2usd+IQR'!$O137, 'converted2usd+IQR'!$P137)</f>
        <v>0</v>
      </c>
      <c r="D137" s="20">
        <f>MEDIAN('converted2usd+IQR'!D137, 'converted2usd+IQR'!$O137, 'converted2usd+IQR'!$P137)</f>
        <v>0</v>
      </c>
      <c r="E137" s="20">
        <f>MEDIAN('converted2usd+IQR'!E137, 'converted2usd+IQR'!$O137, 'converted2usd+IQR'!$P137)</f>
        <v>0</v>
      </c>
      <c r="F137" s="20">
        <f>MEDIAN('converted2usd+IQR'!F137, 'converted2usd+IQR'!$O137, 'converted2usd+IQR'!$P137)</f>
        <v>0</v>
      </c>
      <c r="G137" s="20">
        <f>MEDIAN('converted2usd+IQR'!G137, 'converted2usd+IQR'!$O137, 'converted2usd+IQR'!$P137)</f>
        <v>0</v>
      </c>
      <c r="H137" s="20">
        <f>MEDIAN('converted2usd+IQR'!H137, 'converted2usd+IQR'!$O137, 'converted2usd+IQR'!$P137)</f>
        <v>0</v>
      </c>
      <c r="I137" s="20">
        <f>MEDIAN('converted2usd+IQR'!I137, 'converted2usd+IQR'!$O137, 'converted2usd+IQR'!$P137)</f>
        <v>0</v>
      </c>
      <c r="J137" s="20">
        <f>MEDIAN('converted2usd+IQR'!J137, 'converted2usd+IQR'!$O137, 'converted2usd+IQR'!$P137)</f>
        <v>0</v>
      </c>
      <c r="K137" s="20">
        <f>MEDIAN('converted2usd+IQR'!K137, 'converted2usd+IQR'!$O137, 'converted2usd+IQR'!$P137)</f>
        <v>0</v>
      </c>
    </row>
    <row r="138" spans="1:11">
      <c r="A138" s="7" t="s">
        <v>136</v>
      </c>
      <c r="B138" s="20">
        <f>MEDIAN('converted2usd+IQR'!B138, 'converted2usd+IQR'!$O138, 'converted2usd+IQR'!$P138)</f>
        <v>0</v>
      </c>
      <c r="C138" s="20">
        <f>MEDIAN('converted2usd+IQR'!C138, 'converted2usd+IQR'!$O138, 'converted2usd+IQR'!$P138)</f>
        <v>0</v>
      </c>
      <c r="D138" s="20">
        <f>MEDIAN('converted2usd+IQR'!D138, 'converted2usd+IQR'!$O138, 'converted2usd+IQR'!$P138)</f>
        <v>0</v>
      </c>
      <c r="E138" s="20">
        <f>MEDIAN('converted2usd+IQR'!E138, 'converted2usd+IQR'!$O138, 'converted2usd+IQR'!$P138)</f>
        <v>0</v>
      </c>
      <c r="F138" s="20">
        <f>MEDIAN('converted2usd+IQR'!F138, 'converted2usd+IQR'!$O138, 'converted2usd+IQR'!$P138)</f>
        <v>0</v>
      </c>
      <c r="G138" s="20">
        <f>MEDIAN('converted2usd+IQR'!G138, 'converted2usd+IQR'!$O138, 'converted2usd+IQR'!$P138)</f>
        <v>0</v>
      </c>
      <c r="H138" s="20">
        <f>MEDIAN('converted2usd+IQR'!H138, 'converted2usd+IQR'!$O138, 'converted2usd+IQR'!$P138)</f>
        <v>0</v>
      </c>
      <c r="I138" s="20">
        <f>MEDIAN('converted2usd+IQR'!I138, 'converted2usd+IQR'!$O138, 'converted2usd+IQR'!$P138)</f>
        <v>0</v>
      </c>
      <c r="J138" s="20">
        <f>MEDIAN('converted2usd+IQR'!J138, 'converted2usd+IQR'!$O138, 'converted2usd+IQR'!$P138)</f>
        <v>0</v>
      </c>
      <c r="K138" s="20">
        <f>MEDIAN('converted2usd+IQR'!K138, 'converted2usd+IQR'!$O138, 'converted2usd+IQR'!$P138)</f>
        <v>0</v>
      </c>
    </row>
    <row r="139" spans="1:11">
      <c r="A139" s="6" t="s">
        <v>137</v>
      </c>
      <c r="B139" s="20">
        <f>MEDIAN('converted2usd+IQR'!B139, 'converted2usd+IQR'!$O139, 'converted2usd+IQR'!$P139)</f>
        <v>9878.5086383173912</v>
      </c>
      <c r="C139" s="20">
        <f>MEDIAN('converted2usd+IQR'!C139, 'converted2usd+IQR'!$O139, 'converted2usd+IQR'!$P139)</f>
        <v>10024.02694758996</v>
      </c>
      <c r="D139" s="20">
        <f>MEDIAN('converted2usd+IQR'!D139, 'converted2usd+IQR'!$O139, 'converted2usd+IQR'!$P139)</f>
        <v>8101.0209797305697</v>
      </c>
      <c r="E139" s="20">
        <f>MEDIAN('converted2usd+IQR'!E139, 'converted2usd+IQR'!$O139, 'converted2usd+IQR'!$P139)</f>
        <v>11354.752388525048</v>
      </c>
      <c r="F139" s="20">
        <f>MEDIAN('converted2usd+IQR'!F139, 'converted2usd+IQR'!$O139, 'converted2usd+IQR'!$P139)</f>
        <v>11988.130404787691</v>
      </c>
      <c r="G139" s="20">
        <f>MEDIAN('converted2usd+IQR'!G139, 'converted2usd+IQR'!$O139, 'converted2usd+IQR'!$P139)</f>
        <v>9060.2890961767553</v>
      </c>
      <c r="H139" s="20">
        <f>MEDIAN('converted2usd+IQR'!H139, 'converted2usd+IQR'!$O139, 'converted2usd+IQR'!$P139)</f>
        <v>5538.199510598206</v>
      </c>
      <c r="I139" s="20">
        <f>MEDIAN('converted2usd+IQR'!I139, 'converted2usd+IQR'!$O139, 'converted2usd+IQR'!$P139)</f>
        <v>17580.669870953141</v>
      </c>
      <c r="J139" s="20">
        <f>MEDIAN('converted2usd+IQR'!J139, 'converted2usd+IQR'!$O139, 'converted2usd+IQR'!$P139)</f>
        <v>10272.424432354564</v>
      </c>
      <c r="K139" s="20">
        <f>MEDIAN('converted2usd+IQR'!K139, 'converted2usd+IQR'!$O139, 'converted2usd+IQR'!$P139)</f>
        <v>19524.611657752379</v>
      </c>
    </row>
    <row r="140" spans="1:11">
      <c r="A140" s="7" t="s">
        <v>138</v>
      </c>
      <c r="B140" s="20">
        <f>MEDIAN('converted2usd+IQR'!B140, 'converted2usd+IQR'!$O140, 'converted2usd+IQR'!$P140)</f>
        <v>9878.5086383173912</v>
      </c>
      <c r="C140" s="20">
        <f>MEDIAN('converted2usd+IQR'!C140, 'converted2usd+IQR'!$O140, 'converted2usd+IQR'!$P140)</f>
        <v>10024.02694758996</v>
      </c>
      <c r="D140" s="20">
        <f>MEDIAN('converted2usd+IQR'!D140, 'converted2usd+IQR'!$O140, 'converted2usd+IQR'!$P140)</f>
        <v>8101.0209797305697</v>
      </c>
      <c r="E140" s="20">
        <f>MEDIAN('converted2usd+IQR'!E140, 'converted2usd+IQR'!$O140, 'converted2usd+IQR'!$P140)</f>
        <v>11354.752388525048</v>
      </c>
      <c r="F140" s="20">
        <f>MEDIAN('converted2usd+IQR'!F140, 'converted2usd+IQR'!$O140, 'converted2usd+IQR'!$P140)</f>
        <v>11988.130404787691</v>
      </c>
      <c r="G140" s="20">
        <f>MEDIAN('converted2usd+IQR'!G140, 'converted2usd+IQR'!$O140, 'converted2usd+IQR'!$P140)</f>
        <v>9060.2890961767553</v>
      </c>
      <c r="H140" s="20">
        <f>MEDIAN('converted2usd+IQR'!H140, 'converted2usd+IQR'!$O140, 'converted2usd+IQR'!$P140)</f>
        <v>5538.199510598206</v>
      </c>
      <c r="I140" s="20">
        <f>MEDIAN('converted2usd+IQR'!I140, 'converted2usd+IQR'!$O140, 'converted2usd+IQR'!$P140)</f>
        <v>17580.669870953141</v>
      </c>
      <c r="J140" s="20">
        <f>MEDIAN('converted2usd+IQR'!J140, 'converted2usd+IQR'!$O140, 'converted2usd+IQR'!$P140)</f>
        <v>10272.424432354564</v>
      </c>
      <c r="K140" s="20">
        <f>MEDIAN('converted2usd+IQR'!K140, 'converted2usd+IQR'!$O140, 'converted2usd+IQR'!$P140)</f>
        <v>19524.611657752379</v>
      </c>
    </row>
    <row r="141" spans="1:11">
      <c r="A141" s="6" t="s">
        <v>139</v>
      </c>
      <c r="B141" s="20">
        <f>MEDIAN('converted2usd+IQR'!B141, 'converted2usd+IQR'!$O141, 'converted2usd+IQR'!$P141)</f>
        <v>0</v>
      </c>
      <c r="C141" s="20">
        <f>MEDIAN('converted2usd+IQR'!C141, 'converted2usd+IQR'!$O141, 'converted2usd+IQR'!$P141)</f>
        <v>0</v>
      </c>
      <c r="D141" s="20">
        <f>MEDIAN('converted2usd+IQR'!D141, 'converted2usd+IQR'!$O141, 'converted2usd+IQR'!$P141)</f>
        <v>0</v>
      </c>
      <c r="E141" s="20">
        <f>MEDIAN('converted2usd+IQR'!E141, 'converted2usd+IQR'!$O141, 'converted2usd+IQR'!$P141)</f>
        <v>0</v>
      </c>
      <c r="F141" s="20">
        <f>MEDIAN('converted2usd+IQR'!F141, 'converted2usd+IQR'!$O141, 'converted2usd+IQR'!$P141)</f>
        <v>0</v>
      </c>
      <c r="G141" s="20">
        <f>MEDIAN('converted2usd+IQR'!G141, 'converted2usd+IQR'!$O141, 'converted2usd+IQR'!$P141)</f>
        <v>0</v>
      </c>
      <c r="H141" s="20">
        <f>MEDIAN('converted2usd+IQR'!H141, 'converted2usd+IQR'!$O141, 'converted2usd+IQR'!$P141)</f>
        <v>0</v>
      </c>
      <c r="I141" s="20">
        <f>MEDIAN('converted2usd+IQR'!I141, 'converted2usd+IQR'!$O141, 'converted2usd+IQR'!$P141)</f>
        <v>0</v>
      </c>
      <c r="J141" s="20">
        <f>MEDIAN('converted2usd+IQR'!J141, 'converted2usd+IQR'!$O141, 'converted2usd+IQR'!$P141)</f>
        <v>0</v>
      </c>
      <c r="K141" s="20">
        <f>MEDIAN('converted2usd+IQR'!K141, 'converted2usd+IQR'!$O141, 'converted2usd+IQR'!$P141)</f>
        <v>0</v>
      </c>
    </row>
    <row r="142" spans="1:11">
      <c r="A142" s="5" t="s">
        <v>140</v>
      </c>
      <c r="B142" s="20">
        <f>MEDIAN('converted2usd+IQR'!B142, 'converted2usd+IQR'!$O142, 'converted2usd+IQR'!$P142)</f>
        <v>3.0350659647909524</v>
      </c>
      <c r="C142" s="20">
        <f>MEDIAN('converted2usd+IQR'!C142, 'converted2usd+IQR'!$O142, 'converted2usd+IQR'!$P142)</f>
        <v>0.77674304683387352</v>
      </c>
      <c r="D142" s="20">
        <f>MEDIAN('converted2usd+IQR'!D142, 'converted2usd+IQR'!$O142, 'converted2usd+IQR'!$P142)</f>
        <v>63.495776084195512</v>
      </c>
      <c r="E142" s="20">
        <f>MEDIAN('converted2usd+IQR'!E142, 'converted2usd+IQR'!$O142, 'converted2usd+IQR'!$P142)</f>
        <v>3.1593684206747694</v>
      </c>
      <c r="F142" s="20">
        <f>MEDIAN('converted2usd+IQR'!F142, 'converted2usd+IQR'!$O142, 'converted2usd+IQR'!$P142)</f>
        <v>16.692398374806626</v>
      </c>
      <c r="G142" s="20">
        <f>MEDIAN('converted2usd+IQR'!G142, 'converted2usd+IQR'!$O142, 'converted2usd+IQR'!$P142)</f>
        <v>184.96087777931081</v>
      </c>
      <c r="H142" s="20">
        <f>MEDIAN('converted2usd+IQR'!H142, 'converted2usd+IQR'!$O142, 'converted2usd+IQR'!$P142)</f>
        <v>31.994466430600067</v>
      </c>
      <c r="I142" s="20">
        <f>MEDIAN('converted2usd+IQR'!I142, 'converted2usd+IQR'!$O142, 'converted2usd+IQR'!$P142)</f>
        <v>777.70761094823786</v>
      </c>
      <c r="J142" s="20">
        <f>MEDIAN('converted2usd+IQR'!J142, 'converted2usd+IQR'!$O142, 'converted2usd+IQR'!$P142)</f>
        <v>550.64973424616267</v>
      </c>
      <c r="K142" s="20">
        <f>MEDIAN('converted2usd+IQR'!K142, 'converted2usd+IQR'!$O142, 'converted2usd+IQR'!$P142)</f>
        <v>1817.2822027901757</v>
      </c>
    </row>
    <row r="143" spans="1:11">
      <c r="A143" s="6" t="s">
        <v>141</v>
      </c>
      <c r="B143" s="20">
        <f>MEDIAN('converted2usd+IQR'!B143, 'converted2usd+IQR'!$O143, 'converted2usd+IQR'!$P143)</f>
        <v>3053.5457938130762</v>
      </c>
      <c r="C143" s="20">
        <f>MEDIAN('converted2usd+IQR'!C143, 'converted2usd+IQR'!$O143, 'converted2usd+IQR'!$P143)</f>
        <v>3526.991833905679</v>
      </c>
      <c r="D143" s="20">
        <f>MEDIAN('converted2usd+IQR'!D143, 'converted2usd+IQR'!$O143, 'converted2usd+IQR'!$P143)</f>
        <v>7375.6033157676457</v>
      </c>
      <c r="E143" s="20">
        <f>MEDIAN('converted2usd+IQR'!E143, 'converted2usd+IQR'!$O143, 'converted2usd+IQR'!$P143)</f>
        <v>6043.0926889506036</v>
      </c>
      <c r="F143" s="20">
        <f>MEDIAN('converted2usd+IQR'!F143, 'converted2usd+IQR'!$O143, 'converted2usd+IQR'!$P143)</f>
        <v>4957.3024532071486</v>
      </c>
      <c r="G143" s="20">
        <f>MEDIAN('converted2usd+IQR'!G143, 'converted2usd+IQR'!$O143, 'converted2usd+IQR'!$P143)</f>
        <v>5234.6871658281016</v>
      </c>
      <c r="H143" s="20">
        <f>MEDIAN('converted2usd+IQR'!H143, 'converted2usd+IQR'!$O143, 'converted2usd+IQR'!$P143)</f>
        <v>3919.5241188164891</v>
      </c>
      <c r="I143" s="20">
        <f>MEDIAN('converted2usd+IQR'!I143, 'converted2usd+IQR'!$O143, 'converted2usd+IQR'!$P143)</f>
        <v>24967.674031980467</v>
      </c>
      <c r="J143" s="20">
        <f>MEDIAN('converted2usd+IQR'!J143, 'converted2usd+IQR'!$O143, 'converted2usd+IQR'!$P143)</f>
        <v>24967.674031980467</v>
      </c>
      <c r="K143" s="20">
        <f>MEDIAN('converted2usd+IQR'!K143, 'converted2usd+IQR'!$O143, 'converted2usd+IQR'!$P143)</f>
        <v>10042.992274485094</v>
      </c>
    </row>
    <row r="144" spans="1:11">
      <c r="A144" s="5" t="s">
        <v>142</v>
      </c>
      <c r="B144" s="20">
        <f>MEDIAN('converted2usd+IQR'!B144, 'converted2usd+IQR'!$O144, 'converted2usd+IQR'!$P144)</f>
        <v>0</v>
      </c>
      <c r="C144" s="20">
        <f>MEDIAN('converted2usd+IQR'!C144, 'converted2usd+IQR'!$O144, 'converted2usd+IQR'!$P144)</f>
        <v>4958.6378985986448</v>
      </c>
      <c r="D144" s="20">
        <f>MEDIAN('converted2usd+IQR'!D144, 'converted2usd+IQR'!$O144, 'converted2usd+IQR'!$P144)</f>
        <v>5837.1518580031052</v>
      </c>
      <c r="E144" s="20">
        <f>MEDIAN('converted2usd+IQR'!E144, 'converted2usd+IQR'!$O144, 'converted2usd+IQR'!$P144)</f>
        <v>4968.1424607327117</v>
      </c>
      <c r="F144" s="20">
        <f>MEDIAN('converted2usd+IQR'!F144, 'converted2usd+IQR'!$O144, 'converted2usd+IQR'!$P144)</f>
        <v>6353.28640683712</v>
      </c>
      <c r="G144" s="20">
        <f>MEDIAN('converted2usd+IQR'!G144, 'converted2usd+IQR'!$O144, 'converted2usd+IQR'!$P144)</f>
        <v>7311.7839845256804</v>
      </c>
      <c r="H144" s="20">
        <f>MEDIAN('converted2usd+IQR'!H144, 'converted2usd+IQR'!$O144, 'converted2usd+IQR'!$P144)</f>
        <v>5013.0148793817816</v>
      </c>
      <c r="I144" s="20">
        <f>MEDIAN('converted2usd+IQR'!I144, 'converted2usd+IQR'!$O144, 'converted2usd+IQR'!$P144)</f>
        <v>13015.290235707116</v>
      </c>
      <c r="J144" s="20">
        <f>MEDIAN('converted2usd+IQR'!J144, 'converted2usd+IQR'!$O144, 'converted2usd+IQR'!$P144)</f>
        <v>13795.777138834183</v>
      </c>
      <c r="K144" s="20">
        <f>MEDIAN('converted2usd+IQR'!K144, 'converted2usd+IQR'!$O144, 'converted2usd+IQR'!$P144)</f>
        <v>6798.5068814420802</v>
      </c>
    </row>
    <row r="145" spans="1:11">
      <c r="A145" s="6" t="s">
        <v>143</v>
      </c>
      <c r="B145" s="20">
        <f>MEDIAN('converted2usd+IQR'!B145, 'converted2usd+IQR'!$O145, 'converted2usd+IQR'!$P145)</f>
        <v>0</v>
      </c>
      <c r="C145" s="20">
        <f>MEDIAN('converted2usd+IQR'!C145, 'converted2usd+IQR'!$O145, 'converted2usd+IQR'!$P145)</f>
        <v>0</v>
      </c>
      <c r="D145" s="20">
        <f>MEDIAN('converted2usd+IQR'!D145, 'converted2usd+IQR'!$O145, 'converted2usd+IQR'!$P145)</f>
        <v>0</v>
      </c>
      <c r="E145" s="20">
        <f>MEDIAN('converted2usd+IQR'!E145, 'converted2usd+IQR'!$O145, 'converted2usd+IQR'!$P145)</f>
        <v>0</v>
      </c>
      <c r="F145" s="20">
        <f>MEDIAN('converted2usd+IQR'!F145, 'converted2usd+IQR'!$O145, 'converted2usd+IQR'!$P145)</f>
        <v>0</v>
      </c>
      <c r="G145" s="20">
        <f>MEDIAN('converted2usd+IQR'!G145, 'converted2usd+IQR'!$O145, 'converted2usd+IQR'!$P145)</f>
        <v>0</v>
      </c>
      <c r="H145" s="20">
        <f>MEDIAN('converted2usd+IQR'!H145, 'converted2usd+IQR'!$O145, 'converted2usd+IQR'!$P145)</f>
        <v>0</v>
      </c>
      <c r="I145" s="20">
        <f>MEDIAN('converted2usd+IQR'!I145, 'converted2usd+IQR'!$O145, 'converted2usd+IQR'!$P145)</f>
        <v>0</v>
      </c>
      <c r="J145" s="20">
        <f>MEDIAN('converted2usd+IQR'!J145, 'converted2usd+IQR'!$O145, 'converted2usd+IQR'!$P145)</f>
        <v>0</v>
      </c>
      <c r="K145" s="20">
        <f>MEDIAN('converted2usd+IQR'!K145, 'converted2usd+IQR'!$O145, 'converted2usd+IQR'!$P145)</f>
        <v>0</v>
      </c>
    </row>
    <row r="146" spans="1:11">
      <c r="A146" s="5" t="s">
        <v>144</v>
      </c>
      <c r="B146" s="20">
        <f>MEDIAN('converted2usd+IQR'!B146, 'converted2usd+IQR'!$O146, 'converted2usd+IQR'!$P146)</f>
        <v>0</v>
      </c>
      <c r="C146" s="20">
        <f>MEDIAN('converted2usd+IQR'!C146, 'converted2usd+IQR'!$O146, 'converted2usd+IQR'!$P146)</f>
        <v>860.04458260157423</v>
      </c>
      <c r="D146" s="20">
        <f>MEDIAN('converted2usd+IQR'!D146, 'converted2usd+IQR'!$O146, 'converted2usd+IQR'!$P146)</f>
        <v>419.14078646762408</v>
      </c>
      <c r="E146" s="20">
        <f>MEDIAN('converted2usd+IQR'!E146, 'converted2usd+IQR'!$O146, 'converted2usd+IQR'!$P146)</f>
        <v>797.69058392549277</v>
      </c>
      <c r="F146" s="20">
        <f>MEDIAN('converted2usd+IQR'!F146, 'converted2usd+IQR'!$O146, 'converted2usd+IQR'!$P146)</f>
        <v>322.60247391919665</v>
      </c>
      <c r="G146" s="20">
        <f>MEDIAN('converted2usd+IQR'!G146, 'converted2usd+IQR'!$O146, 'converted2usd+IQR'!$P146)</f>
        <v>398.67711427517628</v>
      </c>
      <c r="H146" s="20">
        <f>MEDIAN('converted2usd+IQR'!H146, 'converted2usd+IQR'!$O146, 'converted2usd+IQR'!$P146)</f>
        <v>282.44448593853565</v>
      </c>
      <c r="I146" s="20">
        <f>MEDIAN('converted2usd+IQR'!I146, 'converted2usd+IQR'!$O146, 'converted2usd+IQR'!$P146)</f>
        <v>2413.3019379503094</v>
      </c>
      <c r="J146" s="20">
        <f>MEDIAN('converted2usd+IQR'!J146, 'converted2usd+IQR'!$O146, 'converted2usd+IQR'!$P146)</f>
        <v>858.03159217016105</v>
      </c>
      <c r="K146" s="20">
        <f>MEDIAN('converted2usd+IQR'!K146, 'converted2usd+IQR'!$O146, 'converted2usd+IQR'!$P146)</f>
        <v>1426.7874435738302</v>
      </c>
    </row>
    <row r="147" spans="1:11">
      <c r="A147" s="6" t="s">
        <v>145</v>
      </c>
      <c r="B147" s="20">
        <f>MEDIAN('converted2usd+IQR'!B147, 'converted2usd+IQR'!$O147, 'converted2usd+IQR'!$P147)</f>
        <v>0</v>
      </c>
      <c r="C147" s="20">
        <f>MEDIAN('converted2usd+IQR'!C147, 'converted2usd+IQR'!$O147, 'converted2usd+IQR'!$P147)</f>
        <v>0</v>
      </c>
      <c r="D147" s="20">
        <f>MEDIAN('converted2usd+IQR'!D147, 'converted2usd+IQR'!$O147, 'converted2usd+IQR'!$P147)</f>
        <v>0</v>
      </c>
      <c r="E147" s="20">
        <f>MEDIAN('converted2usd+IQR'!E147, 'converted2usd+IQR'!$O147, 'converted2usd+IQR'!$P147)</f>
        <v>0</v>
      </c>
      <c r="F147" s="20">
        <f>MEDIAN('converted2usd+IQR'!F147, 'converted2usd+IQR'!$O147, 'converted2usd+IQR'!$P147)</f>
        <v>0</v>
      </c>
      <c r="G147" s="20">
        <f>MEDIAN('converted2usd+IQR'!G147, 'converted2usd+IQR'!$O147, 'converted2usd+IQR'!$P147)</f>
        <v>0</v>
      </c>
      <c r="H147" s="20">
        <f>MEDIAN('converted2usd+IQR'!H147, 'converted2usd+IQR'!$O147, 'converted2usd+IQR'!$P147)</f>
        <v>0</v>
      </c>
      <c r="I147" s="20">
        <f>MEDIAN('converted2usd+IQR'!I147, 'converted2usd+IQR'!$O147, 'converted2usd+IQR'!$P147)</f>
        <v>0</v>
      </c>
      <c r="J147" s="20">
        <f>MEDIAN('converted2usd+IQR'!J147, 'converted2usd+IQR'!$O147, 'converted2usd+IQR'!$P147)</f>
        <v>0</v>
      </c>
      <c r="K147" s="20">
        <f>MEDIAN('converted2usd+IQR'!K147, 'converted2usd+IQR'!$O147, 'converted2usd+IQR'!$P147)</f>
        <v>0</v>
      </c>
    </row>
    <row r="148" spans="1:11">
      <c r="A148" s="5" t="s">
        <v>146</v>
      </c>
      <c r="B148" s="20">
        <f>MEDIAN('converted2usd+IQR'!B148, 'converted2usd+IQR'!$O148, 'converted2usd+IQR'!$P148)</f>
        <v>0</v>
      </c>
      <c r="C148" s="20">
        <f>MEDIAN('converted2usd+IQR'!C148, 'converted2usd+IQR'!$O148, 'converted2usd+IQR'!$P148)</f>
        <v>0</v>
      </c>
      <c r="D148" s="20">
        <f>MEDIAN('converted2usd+IQR'!D148, 'converted2usd+IQR'!$O148, 'converted2usd+IQR'!$P148)</f>
        <v>728.03246957369038</v>
      </c>
      <c r="E148" s="20">
        <f>MEDIAN('converted2usd+IQR'!E148, 'converted2usd+IQR'!$O148, 'converted2usd+IQR'!$P148)</f>
        <v>378.16267995828781</v>
      </c>
      <c r="F148" s="20">
        <f>MEDIAN('converted2usd+IQR'!F148, 'converted2usd+IQR'!$O148, 'converted2usd+IQR'!$P148)</f>
        <v>449.44133591013571</v>
      </c>
      <c r="G148" s="20">
        <f>MEDIAN('converted2usd+IQR'!G148, 'converted2usd+IQR'!$O148, 'converted2usd+IQR'!$P148)</f>
        <v>215.26887200177956</v>
      </c>
      <c r="H148" s="20">
        <f>MEDIAN('converted2usd+IQR'!H148, 'converted2usd+IQR'!$O148, 'converted2usd+IQR'!$P148)</f>
        <v>314.48507723150357</v>
      </c>
      <c r="I148" s="20">
        <f>MEDIAN('converted2usd+IQR'!I148, 'converted2usd+IQR'!$O148, 'converted2usd+IQR'!$P148)</f>
        <v>927.51792197961322</v>
      </c>
      <c r="J148" s="20">
        <f>MEDIAN('converted2usd+IQR'!J148, 'converted2usd+IQR'!$O148, 'converted2usd+IQR'!$P148)</f>
        <v>1174.9482045003372</v>
      </c>
      <c r="K148" s="20">
        <f>MEDIAN('converted2usd+IQR'!K148, 'converted2usd+IQR'!$O148, 'converted2usd+IQR'!$P148)</f>
        <v>786.73646192178649</v>
      </c>
    </row>
    <row r="149" spans="1:11">
      <c r="A149" s="6" t="s">
        <v>147</v>
      </c>
      <c r="B149" s="20">
        <f>MEDIAN('converted2usd+IQR'!B149, 'converted2usd+IQR'!$O149, 'converted2usd+IQR'!$P149)</f>
        <v>0</v>
      </c>
      <c r="C149" s="20">
        <f>MEDIAN('converted2usd+IQR'!C149, 'converted2usd+IQR'!$O149, 'converted2usd+IQR'!$P149)</f>
        <v>0</v>
      </c>
      <c r="D149" s="20">
        <f>MEDIAN('converted2usd+IQR'!D149, 'converted2usd+IQR'!$O149, 'converted2usd+IQR'!$P149)</f>
        <v>0</v>
      </c>
      <c r="E149" s="20">
        <f>MEDIAN('converted2usd+IQR'!E149, 'converted2usd+IQR'!$O149, 'converted2usd+IQR'!$P149)</f>
        <v>0</v>
      </c>
      <c r="F149" s="20">
        <f>MEDIAN('converted2usd+IQR'!F149, 'converted2usd+IQR'!$O149, 'converted2usd+IQR'!$P149)</f>
        <v>0</v>
      </c>
      <c r="G149" s="20">
        <f>MEDIAN('converted2usd+IQR'!G149, 'converted2usd+IQR'!$O149, 'converted2usd+IQR'!$P149)</f>
        <v>0</v>
      </c>
      <c r="H149" s="20">
        <f>MEDIAN('converted2usd+IQR'!H149, 'converted2usd+IQR'!$O149, 'converted2usd+IQR'!$P149)</f>
        <v>0</v>
      </c>
      <c r="I149" s="20">
        <f>MEDIAN('converted2usd+IQR'!I149, 'converted2usd+IQR'!$O149, 'converted2usd+IQR'!$P149)</f>
        <v>0</v>
      </c>
      <c r="J149" s="20">
        <f>MEDIAN('converted2usd+IQR'!J149, 'converted2usd+IQR'!$O149, 'converted2usd+IQR'!$P149)</f>
        <v>0</v>
      </c>
      <c r="K149" s="20">
        <f>MEDIAN('converted2usd+IQR'!K149, 'converted2usd+IQR'!$O149, 'converted2usd+IQR'!$P149)</f>
        <v>0</v>
      </c>
    </row>
    <row r="150" spans="1:11">
      <c r="A150" s="5" t="s">
        <v>148</v>
      </c>
      <c r="B150" s="20">
        <f>MEDIAN('converted2usd+IQR'!B150, 'converted2usd+IQR'!$O150, 'converted2usd+IQR'!$P150)</f>
        <v>744.17733291204775</v>
      </c>
      <c r="C150" s="20">
        <f>MEDIAN('converted2usd+IQR'!C150, 'converted2usd+IQR'!$O150, 'converted2usd+IQR'!$P150)</f>
        <v>642.53732587770673</v>
      </c>
      <c r="D150" s="20">
        <f>MEDIAN('converted2usd+IQR'!D150, 'converted2usd+IQR'!$O150, 'converted2usd+IQR'!$P150)</f>
        <v>607.87044348021345</v>
      </c>
      <c r="E150" s="20">
        <f>MEDIAN('converted2usd+IQR'!E150, 'converted2usd+IQR'!$O150, 'converted2usd+IQR'!$P150)</f>
        <v>82.610398048616034</v>
      </c>
      <c r="F150" s="20">
        <f>MEDIAN('converted2usd+IQR'!F150, 'converted2usd+IQR'!$O150, 'converted2usd+IQR'!$P150)</f>
        <v>934.35187708579804</v>
      </c>
      <c r="G150" s="20">
        <f>MEDIAN('converted2usd+IQR'!G150, 'converted2usd+IQR'!$O150, 'converted2usd+IQR'!$P150)</f>
        <v>0</v>
      </c>
      <c r="H150" s="20">
        <f>MEDIAN('converted2usd+IQR'!H150, 'converted2usd+IQR'!$O150, 'converted2usd+IQR'!$P150)</f>
        <v>527.97895521015857</v>
      </c>
      <c r="I150" s="20">
        <f>MEDIAN('converted2usd+IQR'!I150, 'converted2usd+IQR'!$O150, 'converted2usd+IQR'!$P150)</f>
        <v>0</v>
      </c>
      <c r="J150" s="20">
        <f>MEDIAN('converted2usd+IQR'!J150, 'converted2usd+IQR'!$O150, 'converted2usd+IQR'!$P150)</f>
        <v>0</v>
      </c>
      <c r="K150" s="20">
        <f>MEDIAN('converted2usd+IQR'!K150, 'converted2usd+IQR'!$O150, 'converted2usd+IQR'!$P150)</f>
        <v>1628.2466377412816</v>
      </c>
    </row>
    <row r="151" spans="1:11">
      <c r="A151" s="6" t="s">
        <v>149</v>
      </c>
      <c r="B151" s="20">
        <f>MEDIAN('converted2usd+IQR'!B151, 'converted2usd+IQR'!$O151, 'converted2usd+IQR'!$P151)</f>
        <v>0</v>
      </c>
      <c r="C151" s="20">
        <f>MEDIAN('converted2usd+IQR'!C151, 'converted2usd+IQR'!$O151, 'converted2usd+IQR'!$P151)</f>
        <v>0</v>
      </c>
      <c r="D151" s="20">
        <f>MEDIAN('converted2usd+IQR'!D151, 'converted2usd+IQR'!$O151, 'converted2usd+IQR'!$P151)</f>
        <v>0</v>
      </c>
      <c r="E151" s="20">
        <f>MEDIAN('converted2usd+IQR'!E151, 'converted2usd+IQR'!$O151, 'converted2usd+IQR'!$P151)</f>
        <v>0</v>
      </c>
      <c r="F151" s="20">
        <f>MEDIAN('converted2usd+IQR'!F151, 'converted2usd+IQR'!$O151, 'converted2usd+IQR'!$P151)</f>
        <v>0</v>
      </c>
      <c r="G151" s="20">
        <f>MEDIAN('converted2usd+IQR'!G151, 'converted2usd+IQR'!$O151, 'converted2usd+IQR'!$P151)</f>
        <v>0</v>
      </c>
      <c r="H151" s="20">
        <f>MEDIAN('converted2usd+IQR'!H151, 'converted2usd+IQR'!$O151, 'converted2usd+IQR'!$P151)</f>
        <v>0</v>
      </c>
      <c r="I151" s="20">
        <f>MEDIAN('converted2usd+IQR'!I151, 'converted2usd+IQR'!$O151, 'converted2usd+IQR'!$P151)</f>
        <v>0</v>
      </c>
      <c r="J151" s="20">
        <f>MEDIAN('converted2usd+IQR'!J151, 'converted2usd+IQR'!$O151, 'converted2usd+IQR'!$P151)</f>
        <v>0</v>
      </c>
      <c r="K151" s="20">
        <f>MEDIAN('converted2usd+IQR'!K151, 'converted2usd+IQR'!$O151, 'converted2usd+IQR'!$P151)</f>
        <v>0</v>
      </c>
    </row>
    <row r="152" spans="1:11">
      <c r="A152" s="5" t="s">
        <v>150</v>
      </c>
      <c r="B152" s="20">
        <f>MEDIAN('converted2usd+IQR'!B152, 'converted2usd+IQR'!$O152, 'converted2usd+IQR'!$P152)</f>
        <v>0</v>
      </c>
      <c r="C152" s="20">
        <f>MEDIAN('converted2usd+IQR'!C152, 'converted2usd+IQR'!$O152, 'converted2usd+IQR'!$P152)</f>
        <v>0</v>
      </c>
      <c r="D152" s="20">
        <f>MEDIAN('converted2usd+IQR'!D152, 'converted2usd+IQR'!$O152, 'converted2usd+IQR'!$P152)</f>
        <v>0</v>
      </c>
      <c r="E152" s="20">
        <f>MEDIAN('converted2usd+IQR'!E152, 'converted2usd+IQR'!$O152, 'converted2usd+IQR'!$P152)</f>
        <v>0</v>
      </c>
      <c r="F152" s="20">
        <f>MEDIAN('converted2usd+IQR'!F152, 'converted2usd+IQR'!$O152, 'converted2usd+IQR'!$P152)</f>
        <v>0</v>
      </c>
      <c r="G152" s="20">
        <f>MEDIAN('converted2usd+IQR'!G152, 'converted2usd+IQR'!$O152, 'converted2usd+IQR'!$P152)</f>
        <v>0</v>
      </c>
      <c r="H152" s="20">
        <f>MEDIAN('converted2usd+IQR'!H152, 'converted2usd+IQR'!$O152, 'converted2usd+IQR'!$P152)</f>
        <v>0</v>
      </c>
      <c r="I152" s="20">
        <f>MEDIAN('converted2usd+IQR'!I152, 'converted2usd+IQR'!$O152, 'converted2usd+IQR'!$P152)</f>
        <v>0</v>
      </c>
      <c r="J152" s="20">
        <f>MEDIAN('converted2usd+IQR'!J152, 'converted2usd+IQR'!$O152, 'converted2usd+IQR'!$P152)</f>
        <v>0</v>
      </c>
      <c r="K152" s="20">
        <f>MEDIAN('converted2usd+IQR'!K152, 'converted2usd+IQR'!$O152, 'converted2usd+IQR'!$P152)</f>
        <v>0</v>
      </c>
    </row>
    <row r="153" spans="1:11">
      <c r="A153" s="6" t="s">
        <v>151</v>
      </c>
      <c r="B153" s="20">
        <f>MEDIAN('converted2usd+IQR'!B153, 'converted2usd+IQR'!$O153, 'converted2usd+IQR'!$P153)</f>
        <v>0</v>
      </c>
      <c r="C153" s="20">
        <f>MEDIAN('converted2usd+IQR'!C153, 'converted2usd+IQR'!$O153, 'converted2usd+IQR'!$P153)</f>
        <v>0</v>
      </c>
      <c r="D153" s="20">
        <f>MEDIAN('converted2usd+IQR'!D153, 'converted2usd+IQR'!$O153, 'converted2usd+IQR'!$P153)</f>
        <v>0</v>
      </c>
      <c r="E153" s="20">
        <f>MEDIAN('converted2usd+IQR'!E153, 'converted2usd+IQR'!$O153, 'converted2usd+IQR'!$P153)</f>
        <v>0</v>
      </c>
      <c r="F153" s="20">
        <f>MEDIAN('converted2usd+IQR'!F153, 'converted2usd+IQR'!$O153, 'converted2usd+IQR'!$P153)</f>
        <v>0</v>
      </c>
      <c r="G153" s="20">
        <f>MEDIAN('converted2usd+IQR'!G153, 'converted2usd+IQR'!$O153, 'converted2usd+IQR'!$P153)</f>
        <v>0</v>
      </c>
      <c r="H153" s="20">
        <f>MEDIAN('converted2usd+IQR'!H153, 'converted2usd+IQR'!$O153, 'converted2usd+IQR'!$P153)</f>
        <v>0</v>
      </c>
      <c r="I153" s="20">
        <f>MEDIAN('converted2usd+IQR'!I153, 'converted2usd+IQR'!$O153, 'converted2usd+IQR'!$P153)</f>
        <v>0</v>
      </c>
      <c r="J153" s="20">
        <f>MEDIAN('converted2usd+IQR'!J153, 'converted2usd+IQR'!$O153, 'converted2usd+IQR'!$P153)</f>
        <v>0</v>
      </c>
      <c r="K153" s="20">
        <f>MEDIAN('converted2usd+IQR'!K153, 'converted2usd+IQR'!$O153, 'converted2usd+IQR'!$P153)</f>
        <v>0</v>
      </c>
    </row>
    <row r="154" spans="1:11">
      <c r="A154" s="5" t="s">
        <v>152</v>
      </c>
      <c r="B154" s="20">
        <f>MEDIAN('converted2usd+IQR'!B154, 'converted2usd+IQR'!$O154, 'converted2usd+IQR'!$P154)</f>
        <v>3.478636707781634</v>
      </c>
      <c r="C154" s="20">
        <f>MEDIAN('converted2usd+IQR'!C154, 'converted2usd+IQR'!$O154, 'converted2usd+IQR'!$P154)</f>
        <v>21.286485556904534</v>
      </c>
      <c r="D154" s="20">
        <f>MEDIAN('converted2usd+IQR'!D154, 'converted2usd+IQR'!$O154, 'converted2usd+IQR'!$P154)</f>
        <v>34.284075354756609</v>
      </c>
      <c r="E154" s="20">
        <f>MEDIAN('converted2usd+IQR'!E154, 'converted2usd+IQR'!$O154, 'converted2usd+IQR'!$P154)</f>
        <v>843.17557610882807</v>
      </c>
      <c r="F154" s="20">
        <f>MEDIAN('converted2usd+IQR'!F154, 'converted2usd+IQR'!$O154, 'converted2usd+IQR'!$P154)</f>
        <v>1030.2855456528835</v>
      </c>
      <c r="G154" s="20">
        <f>MEDIAN('converted2usd+IQR'!G154, 'converted2usd+IQR'!$O154, 'converted2usd+IQR'!$P154)</f>
        <v>557.53939110676913</v>
      </c>
      <c r="H154" s="20">
        <f>MEDIAN('converted2usd+IQR'!H154, 'converted2usd+IQR'!$O154, 'converted2usd+IQR'!$P154)</f>
        <v>923.62967186170692</v>
      </c>
      <c r="I154" s="20">
        <f>MEDIAN('converted2usd+IQR'!I154, 'converted2usd+IQR'!$O154, 'converted2usd+IQR'!$P154)</f>
        <v>1084.6195477073657</v>
      </c>
      <c r="J154" s="20">
        <f>MEDIAN('converted2usd+IQR'!J154, 'converted2usd+IQR'!$O154, 'converted2usd+IQR'!$P154)</f>
        <v>1394.6126166539025</v>
      </c>
      <c r="K154" s="20">
        <f>MEDIAN('converted2usd+IQR'!K154, 'converted2usd+IQR'!$O154, 'converted2usd+IQR'!$P154)</f>
        <v>1840.0632074553814</v>
      </c>
    </row>
    <row r="155" spans="1:11">
      <c r="A155" s="6" t="s">
        <v>153</v>
      </c>
      <c r="B155" s="20">
        <f>MEDIAN('converted2usd+IQR'!B155, 'converted2usd+IQR'!$O155, 'converted2usd+IQR'!$P155)</f>
        <v>0</v>
      </c>
      <c r="C155" s="20">
        <f>MEDIAN('converted2usd+IQR'!C155, 'converted2usd+IQR'!$O155, 'converted2usd+IQR'!$P155)</f>
        <v>0</v>
      </c>
      <c r="D155" s="20">
        <f>MEDIAN('converted2usd+IQR'!D155, 'converted2usd+IQR'!$O155, 'converted2usd+IQR'!$P155)</f>
        <v>0</v>
      </c>
      <c r="E155" s="20">
        <f>MEDIAN('converted2usd+IQR'!E155, 'converted2usd+IQR'!$O155, 'converted2usd+IQR'!$P155)</f>
        <v>0</v>
      </c>
      <c r="F155" s="20">
        <f>MEDIAN('converted2usd+IQR'!F155, 'converted2usd+IQR'!$O155, 'converted2usd+IQR'!$P155)</f>
        <v>0</v>
      </c>
      <c r="G155" s="20">
        <f>MEDIAN('converted2usd+IQR'!G155, 'converted2usd+IQR'!$O155, 'converted2usd+IQR'!$P155)</f>
        <v>0</v>
      </c>
      <c r="H155" s="20">
        <f>MEDIAN('converted2usd+IQR'!H155, 'converted2usd+IQR'!$O155, 'converted2usd+IQR'!$P155)</f>
        <v>0</v>
      </c>
      <c r="I155" s="20">
        <f>MEDIAN('converted2usd+IQR'!I155, 'converted2usd+IQR'!$O155, 'converted2usd+IQR'!$P155)</f>
        <v>0</v>
      </c>
      <c r="J155" s="20">
        <f>MEDIAN('converted2usd+IQR'!J155, 'converted2usd+IQR'!$O155, 'converted2usd+IQR'!$P155)</f>
        <v>0</v>
      </c>
      <c r="K155" s="20">
        <f>MEDIAN('converted2usd+IQR'!K155, 'converted2usd+IQR'!$O155, 'converted2usd+IQR'!$P155)</f>
        <v>0</v>
      </c>
    </row>
    <row r="156" spans="1:11">
      <c r="A156" s="5" t="s">
        <v>154</v>
      </c>
      <c r="B156" s="20">
        <f>MEDIAN('converted2usd+IQR'!B156, 'converted2usd+IQR'!$O156, 'converted2usd+IQR'!$P156)</f>
        <v>0</v>
      </c>
      <c r="C156" s="20">
        <f>MEDIAN('converted2usd+IQR'!C156, 'converted2usd+IQR'!$O156, 'converted2usd+IQR'!$P156)</f>
        <v>0</v>
      </c>
      <c r="D156" s="20">
        <f>MEDIAN('converted2usd+IQR'!D156, 'converted2usd+IQR'!$O156, 'converted2usd+IQR'!$P156)</f>
        <v>0</v>
      </c>
      <c r="E156" s="20">
        <f>MEDIAN('converted2usd+IQR'!E156, 'converted2usd+IQR'!$O156, 'converted2usd+IQR'!$P156)</f>
        <v>0</v>
      </c>
      <c r="F156" s="20">
        <f>MEDIAN('converted2usd+IQR'!F156, 'converted2usd+IQR'!$O156, 'converted2usd+IQR'!$P156)</f>
        <v>0</v>
      </c>
      <c r="G156" s="20">
        <f>MEDIAN('converted2usd+IQR'!G156, 'converted2usd+IQR'!$O156, 'converted2usd+IQR'!$P156)</f>
        <v>0</v>
      </c>
      <c r="H156" s="20">
        <f>MEDIAN('converted2usd+IQR'!H156, 'converted2usd+IQR'!$O156, 'converted2usd+IQR'!$P156)</f>
        <v>0</v>
      </c>
      <c r="I156" s="20">
        <f>MEDIAN('converted2usd+IQR'!I156, 'converted2usd+IQR'!$O156, 'converted2usd+IQR'!$P156)</f>
        <v>0</v>
      </c>
      <c r="J156" s="20">
        <f>MEDIAN('converted2usd+IQR'!J156, 'converted2usd+IQR'!$O156, 'converted2usd+IQR'!$P156)</f>
        <v>0</v>
      </c>
      <c r="K156" s="20">
        <f>MEDIAN('converted2usd+IQR'!K156, 'converted2usd+IQR'!$O156, 'converted2usd+IQR'!$P156)</f>
        <v>0</v>
      </c>
    </row>
    <row r="157" spans="1:11">
      <c r="A157" s="6" t="s">
        <v>155</v>
      </c>
      <c r="B157" s="20">
        <f>MEDIAN('converted2usd+IQR'!B157, 'converted2usd+IQR'!$O157, 'converted2usd+IQR'!$P157)</f>
        <v>0</v>
      </c>
      <c r="C157" s="20">
        <f>MEDIAN('converted2usd+IQR'!C157, 'converted2usd+IQR'!$O157, 'converted2usd+IQR'!$P157)</f>
        <v>0</v>
      </c>
      <c r="D157" s="20">
        <f>MEDIAN('converted2usd+IQR'!D157, 'converted2usd+IQR'!$O157, 'converted2usd+IQR'!$P157)</f>
        <v>0</v>
      </c>
      <c r="E157" s="20">
        <f>MEDIAN('converted2usd+IQR'!E157, 'converted2usd+IQR'!$O157, 'converted2usd+IQR'!$P157)</f>
        <v>0</v>
      </c>
      <c r="F157" s="20">
        <f>MEDIAN('converted2usd+IQR'!F157, 'converted2usd+IQR'!$O157, 'converted2usd+IQR'!$P157)</f>
        <v>0</v>
      </c>
      <c r="G157" s="20">
        <f>MEDIAN('converted2usd+IQR'!G157, 'converted2usd+IQR'!$O157, 'converted2usd+IQR'!$P157)</f>
        <v>0</v>
      </c>
      <c r="H157" s="20">
        <f>MEDIAN('converted2usd+IQR'!H157, 'converted2usd+IQR'!$O157, 'converted2usd+IQR'!$P157)</f>
        <v>0</v>
      </c>
      <c r="I157" s="20">
        <f>MEDIAN('converted2usd+IQR'!I157, 'converted2usd+IQR'!$O157, 'converted2usd+IQR'!$P157)</f>
        <v>0</v>
      </c>
      <c r="J157" s="20">
        <f>MEDIAN('converted2usd+IQR'!J157, 'converted2usd+IQR'!$O157, 'converted2usd+IQR'!$P157)</f>
        <v>0</v>
      </c>
      <c r="K157" s="20">
        <f>MEDIAN('converted2usd+IQR'!K157, 'converted2usd+IQR'!$O157, 'converted2usd+IQR'!$P157)</f>
        <v>0</v>
      </c>
    </row>
    <row r="158" spans="1:11">
      <c r="A158" s="7" t="s">
        <v>140</v>
      </c>
      <c r="B158" s="20">
        <f>MEDIAN('converted2usd+IQR'!B158, 'converted2usd+IQR'!$O158, 'converted2usd+IQR'!$P158)</f>
        <v>3804.2368293976961</v>
      </c>
      <c r="C158" s="20">
        <f>MEDIAN('converted2usd+IQR'!C158, 'converted2usd+IQR'!$O158, 'converted2usd+IQR'!$P158)</f>
        <v>10010.274869587345</v>
      </c>
      <c r="D158" s="20">
        <f>MEDIAN('converted2usd+IQR'!D158, 'converted2usd+IQR'!$O158, 'converted2usd+IQR'!$P158)</f>
        <v>15065.578724731233</v>
      </c>
      <c r="E158" s="20">
        <f>MEDIAN('converted2usd+IQR'!E158, 'converted2usd+IQR'!$O158, 'converted2usd+IQR'!$P158)</f>
        <v>13116.033756145212</v>
      </c>
      <c r="F158" s="20">
        <f>MEDIAN('converted2usd+IQR'!F158, 'converted2usd+IQR'!$O158, 'converted2usd+IQR'!$P158)</f>
        <v>14063.962490987087</v>
      </c>
      <c r="G158" s="20">
        <f>MEDIAN('converted2usd+IQR'!G158, 'converted2usd+IQR'!$O158, 'converted2usd+IQR'!$P158)</f>
        <v>13902.917405516817</v>
      </c>
      <c r="H158" s="20">
        <f>MEDIAN('converted2usd+IQR'!H158, 'converted2usd+IQR'!$O158, 'converted2usd+IQR'!$P158)</f>
        <v>11013.071654870777</v>
      </c>
      <c r="I158" s="20">
        <f>MEDIAN('converted2usd+IQR'!I158, 'converted2usd+IQR'!$O158, 'converted2usd+IQR'!$P158)</f>
        <v>59155.213028456004</v>
      </c>
      <c r="J158" s="20">
        <f>MEDIAN('converted2usd+IQR'!J158, 'converted2usd+IQR'!$O158, 'converted2usd+IQR'!$P158)</f>
        <v>48597.070087344022</v>
      </c>
      <c r="K158" s="20">
        <f>MEDIAN('converted2usd+IQR'!K158, 'converted2usd+IQR'!$O158, 'converted2usd+IQR'!$P158)</f>
        <v>27795.200874715119</v>
      </c>
    </row>
    <row r="159" spans="1:11">
      <c r="A159" s="6" t="s">
        <v>156</v>
      </c>
      <c r="B159" s="20">
        <f>MEDIAN('converted2usd+IQR'!B159, 'converted2usd+IQR'!$O159, 'converted2usd+IQR'!$P159)</f>
        <v>104091.47998998441</v>
      </c>
      <c r="C159" s="20">
        <f>MEDIAN('converted2usd+IQR'!C159, 'converted2usd+IQR'!$O159, 'converted2usd+IQR'!$P159)</f>
        <v>77680.45729085723</v>
      </c>
      <c r="D159" s="20">
        <f>MEDIAN('converted2usd+IQR'!D159, 'converted2usd+IQR'!$O159, 'converted2usd+IQR'!$P159)</f>
        <v>102220.18952547986</v>
      </c>
      <c r="E159" s="20">
        <f>MEDIAN('converted2usd+IQR'!E159, 'converted2usd+IQR'!$O159, 'converted2usd+IQR'!$P159)</f>
        <v>105025.81187415098</v>
      </c>
      <c r="F159" s="20">
        <f>MEDIAN('converted2usd+IQR'!F159, 'converted2usd+IQR'!$O159, 'converted2usd+IQR'!$P159)</f>
        <v>110135.09923863785</v>
      </c>
      <c r="G159" s="20">
        <f>MEDIAN('converted2usd+IQR'!G159, 'converted2usd+IQR'!$O159, 'converted2usd+IQR'!$P159)</f>
        <v>61396.970191655273</v>
      </c>
      <c r="H159" s="20">
        <f>MEDIAN('converted2usd+IQR'!H159, 'converted2usd+IQR'!$O159, 'converted2usd+IQR'!$P159)</f>
        <v>74191.020554359173</v>
      </c>
      <c r="I159" s="20">
        <f>MEDIAN('converted2usd+IQR'!I159, 'converted2usd+IQR'!$O159, 'converted2usd+IQR'!$P159)</f>
        <v>136316.78684081844</v>
      </c>
      <c r="J159" s="20">
        <f>MEDIAN('converted2usd+IQR'!J159, 'converted2usd+IQR'!$O159, 'converted2usd+IQR'!$P159)</f>
        <v>130078.45704277976</v>
      </c>
      <c r="K159" s="20">
        <f>MEDIAN('converted2usd+IQR'!K159, 'converted2usd+IQR'!$O159, 'converted2usd+IQR'!$P159)</f>
        <v>151623.50910247923</v>
      </c>
    </row>
    <row r="160" spans="1:11">
      <c r="A160" s="5" t="s">
        <v>157</v>
      </c>
      <c r="B160" s="20">
        <f>MEDIAN('converted2usd+IQR'!B160, 'converted2usd+IQR'!$O160, 'converted2usd+IQR'!$P160)</f>
        <v>12.146048181042865</v>
      </c>
      <c r="C160" s="20">
        <f>MEDIAN('converted2usd+IQR'!C160, 'converted2usd+IQR'!$O160, 'converted2usd+IQR'!$P160)</f>
        <v>12.146048181042865</v>
      </c>
      <c r="D160" s="20">
        <f>MEDIAN('converted2usd+IQR'!D160, 'converted2usd+IQR'!$O160, 'converted2usd+IQR'!$P160)</f>
        <v>0</v>
      </c>
      <c r="E160" s="20">
        <f>MEDIAN('converted2usd+IQR'!E160, 'converted2usd+IQR'!$O160, 'converted2usd+IQR'!$P160)</f>
        <v>0</v>
      </c>
      <c r="F160" s="20">
        <f>MEDIAN('converted2usd+IQR'!F160, 'converted2usd+IQR'!$O160, 'converted2usd+IQR'!$P160)</f>
        <v>0</v>
      </c>
      <c r="G160" s="20">
        <f>MEDIAN('converted2usd+IQR'!G160, 'converted2usd+IQR'!$O160, 'converted2usd+IQR'!$P160)</f>
        <v>2.8115291593579408</v>
      </c>
      <c r="H160" s="20">
        <f>MEDIAN('converted2usd+IQR'!H160, 'converted2usd+IQR'!$O160, 'converted2usd+IQR'!$P160)</f>
        <v>3.1115063405616414</v>
      </c>
      <c r="I160" s="20">
        <f>MEDIAN('converted2usd+IQR'!I160, 'converted2usd+IQR'!$O160, 'converted2usd+IQR'!$P160)</f>
        <v>0</v>
      </c>
      <c r="J160" s="20">
        <f>MEDIAN('converted2usd+IQR'!J160, 'converted2usd+IQR'!$O160, 'converted2usd+IQR'!$P160)</f>
        <v>0</v>
      </c>
      <c r="K160" s="20">
        <f>MEDIAN('converted2usd+IQR'!K160, 'converted2usd+IQR'!$O160, 'converted2usd+IQR'!$P160)</f>
        <v>0</v>
      </c>
    </row>
    <row r="161" spans="1:11">
      <c r="A161" s="6" t="s">
        <v>158</v>
      </c>
      <c r="B161" s="20">
        <f>MEDIAN('converted2usd+IQR'!B161, 'converted2usd+IQR'!$O161, 'converted2usd+IQR'!$P161)</f>
        <v>0</v>
      </c>
      <c r="C161" s="20">
        <f>MEDIAN('converted2usd+IQR'!C161, 'converted2usd+IQR'!$O161, 'converted2usd+IQR'!$P161)</f>
        <v>0</v>
      </c>
      <c r="D161" s="20">
        <f>MEDIAN('converted2usd+IQR'!D161, 'converted2usd+IQR'!$O161, 'converted2usd+IQR'!$P161)</f>
        <v>0</v>
      </c>
      <c r="E161" s="20">
        <f>MEDIAN('converted2usd+IQR'!E161, 'converted2usd+IQR'!$O161, 'converted2usd+IQR'!$P161)</f>
        <v>0</v>
      </c>
      <c r="F161" s="20">
        <f>MEDIAN('converted2usd+IQR'!F161, 'converted2usd+IQR'!$O161, 'converted2usd+IQR'!$P161)</f>
        <v>0</v>
      </c>
      <c r="G161" s="20">
        <f>MEDIAN('converted2usd+IQR'!G161, 'converted2usd+IQR'!$O161, 'converted2usd+IQR'!$P161)</f>
        <v>0</v>
      </c>
      <c r="H161" s="20">
        <f>MEDIAN('converted2usd+IQR'!H161, 'converted2usd+IQR'!$O161, 'converted2usd+IQR'!$P161)</f>
        <v>0</v>
      </c>
      <c r="I161" s="20">
        <f>MEDIAN('converted2usd+IQR'!I161, 'converted2usd+IQR'!$O161, 'converted2usd+IQR'!$P161)</f>
        <v>0</v>
      </c>
      <c r="J161" s="20">
        <f>MEDIAN('converted2usd+IQR'!J161, 'converted2usd+IQR'!$O161, 'converted2usd+IQR'!$P161)</f>
        <v>0</v>
      </c>
      <c r="K161" s="20">
        <f>MEDIAN('converted2usd+IQR'!K161, 'converted2usd+IQR'!$O161, 'converted2usd+IQR'!$P161)</f>
        <v>0</v>
      </c>
    </row>
    <row r="162" spans="1:11">
      <c r="A162" s="5" t="s">
        <v>159</v>
      </c>
      <c r="B162" s="20">
        <f>MEDIAN('converted2usd+IQR'!B162, 'converted2usd+IQR'!$O162, 'converted2usd+IQR'!$P162)</f>
        <v>2518.1740749131059</v>
      </c>
      <c r="C162" s="20">
        <f>MEDIAN('converted2usd+IQR'!C162, 'converted2usd+IQR'!$O162, 'converted2usd+IQR'!$P162)</f>
        <v>1565.6270747455465</v>
      </c>
      <c r="D162" s="20">
        <f>MEDIAN('converted2usd+IQR'!D162, 'converted2usd+IQR'!$O162, 'converted2usd+IQR'!$P162)</f>
        <v>2200.1986960686304</v>
      </c>
      <c r="E162" s="20">
        <f>MEDIAN('converted2usd+IQR'!E162, 'converted2usd+IQR'!$O162, 'converted2usd+IQR'!$P162)</f>
        <v>5515.7736703144528</v>
      </c>
      <c r="F162" s="20">
        <f>MEDIAN('converted2usd+IQR'!F162, 'converted2usd+IQR'!$O162, 'converted2usd+IQR'!$P162)</f>
        <v>6169.2893906147765</v>
      </c>
      <c r="G162" s="20">
        <f>MEDIAN('converted2usd+IQR'!G162, 'converted2usd+IQR'!$O162, 'converted2usd+IQR'!$P162)</f>
        <v>5510.3787886893315</v>
      </c>
      <c r="H162" s="20">
        <f>MEDIAN('converted2usd+IQR'!H162, 'converted2usd+IQR'!$O162, 'converted2usd+IQR'!$P162)</f>
        <v>4287.4055246992066</v>
      </c>
      <c r="I162" s="20">
        <f>MEDIAN('converted2usd+IQR'!I162, 'converted2usd+IQR'!$O162, 'converted2usd+IQR'!$P162)</f>
        <v>6415.2333595032796</v>
      </c>
      <c r="J162" s="20">
        <f>MEDIAN('converted2usd+IQR'!J162, 'converted2usd+IQR'!$O162, 'converted2usd+IQR'!$P162)</f>
        <v>2897.5977474339247</v>
      </c>
      <c r="K162" s="20">
        <f>MEDIAN('converted2usd+IQR'!K162, 'converted2usd+IQR'!$O162, 'converted2usd+IQR'!$P162)</f>
        <v>3463.2984456898885</v>
      </c>
    </row>
    <row r="163" spans="1:11">
      <c r="A163" s="7" t="s">
        <v>160</v>
      </c>
      <c r="B163" s="20">
        <f>MEDIAN('converted2usd+IQR'!B163, 'converted2usd+IQR'!$O163, 'converted2usd+IQR'!$P163)</f>
        <v>106906.01519604612</v>
      </c>
      <c r="C163" s="20">
        <f>MEDIAN('converted2usd+IQR'!C163, 'converted2usd+IQR'!$O163, 'converted2usd+IQR'!$P163)</f>
        <v>79286.305037755184</v>
      </c>
      <c r="D163" s="20">
        <f>MEDIAN('converted2usd+IQR'!D163, 'converted2usd+IQR'!$O163, 'converted2usd+IQR'!$P163)</f>
        <v>104420.38822154849</v>
      </c>
      <c r="E163" s="20">
        <f>MEDIAN('converted2usd+IQR'!E163, 'converted2usd+IQR'!$O163, 'converted2usd+IQR'!$P163)</f>
        <v>110541.58554446544</v>
      </c>
      <c r="F163" s="20">
        <f>MEDIAN('converted2usd+IQR'!F163, 'converted2usd+IQR'!$O163, 'converted2usd+IQR'!$P163)</f>
        <v>116304.38862925263</v>
      </c>
      <c r="G163" s="20">
        <f>MEDIAN('converted2usd+IQR'!G163, 'converted2usd+IQR'!$O163, 'converted2usd+IQR'!$P163)</f>
        <v>66910.16050950397</v>
      </c>
      <c r="H163" s="20">
        <f>MEDIAN('converted2usd+IQR'!H163, 'converted2usd+IQR'!$O163, 'converted2usd+IQR'!$P163)</f>
        <v>78481.537585398954</v>
      </c>
      <c r="I163" s="20">
        <f>MEDIAN('converted2usd+IQR'!I163, 'converted2usd+IQR'!$O163, 'converted2usd+IQR'!$P163)</f>
        <v>142732.02020032174</v>
      </c>
      <c r="J163" s="20">
        <f>MEDIAN('converted2usd+IQR'!J163, 'converted2usd+IQR'!$O163, 'converted2usd+IQR'!$P163)</f>
        <v>132976.05479021368</v>
      </c>
      <c r="K163" s="20">
        <f>MEDIAN('converted2usd+IQR'!K163, 'converted2usd+IQR'!$O163, 'converted2usd+IQR'!$P163)</f>
        <v>155086.80754816913</v>
      </c>
    </row>
    <row r="164" spans="1:11">
      <c r="A164" s="5" t="s">
        <v>161</v>
      </c>
      <c r="B164" s="20">
        <f>MEDIAN('converted2usd+IQR'!B164, 'converted2usd+IQR'!$O164, 'converted2usd+IQR'!$P164)</f>
        <v>0</v>
      </c>
      <c r="C164" s="20">
        <f>MEDIAN('converted2usd+IQR'!C164, 'converted2usd+IQR'!$O164, 'converted2usd+IQR'!$P164)</f>
        <v>0</v>
      </c>
      <c r="D164" s="20">
        <f>MEDIAN('converted2usd+IQR'!D164, 'converted2usd+IQR'!$O164, 'converted2usd+IQR'!$P164)</f>
        <v>0</v>
      </c>
      <c r="E164" s="20">
        <f>MEDIAN('converted2usd+IQR'!E164, 'converted2usd+IQR'!$O164, 'converted2usd+IQR'!$P164)</f>
        <v>0</v>
      </c>
      <c r="F164" s="20">
        <f>MEDIAN('converted2usd+IQR'!F164, 'converted2usd+IQR'!$O164, 'converted2usd+IQR'!$P164)</f>
        <v>0</v>
      </c>
      <c r="G164" s="20">
        <f>MEDIAN('converted2usd+IQR'!G164, 'converted2usd+IQR'!$O164, 'converted2usd+IQR'!$P164)</f>
        <v>0</v>
      </c>
      <c r="H164" s="20">
        <f>MEDIAN('converted2usd+IQR'!H164, 'converted2usd+IQR'!$O164, 'converted2usd+IQR'!$P164)</f>
        <v>0</v>
      </c>
      <c r="I164" s="20">
        <f>MEDIAN('converted2usd+IQR'!I164, 'converted2usd+IQR'!$O164, 'converted2usd+IQR'!$P164)</f>
        <v>0</v>
      </c>
      <c r="J164" s="20">
        <f>MEDIAN('converted2usd+IQR'!J164, 'converted2usd+IQR'!$O164, 'converted2usd+IQR'!$P164)</f>
        <v>0</v>
      </c>
      <c r="K164" s="20">
        <f>MEDIAN('converted2usd+IQR'!K164, 'converted2usd+IQR'!$O164, 'converted2usd+IQR'!$P164)</f>
        <v>0</v>
      </c>
    </row>
    <row r="165" spans="1:11">
      <c r="A165" s="6" t="s">
        <v>162</v>
      </c>
      <c r="B165" s="20">
        <f>MEDIAN('converted2usd+IQR'!B165, 'converted2usd+IQR'!$O165, 'converted2usd+IQR'!$P165)</f>
        <v>0</v>
      </c>
      <c r="C165" s="20">
        <f>MEDIAN('converted2usd+IQR'!C165, 'converted2usd+IQR'!$O165, 'converted2usd+IQR'!$P165)</f>
        <v>0</v>
      </c>
      <c r="D165" s="20">
        <f>MEDIAN('converted2usd+IQR'!D165, 'converted2usd+IQR'!$O165, 'converted2usd+IQR'!$P165)</f>
        <v>0</v>
      </c>
      <c r="E165" s="20">
        <f>MEDIAN('converted2usd+IQR'!E165, 'converted2usd+IQR'!$O165, 'converted2usd+IQR'!$P165)</f>
        <v>0</v>
      </c>
      <c r="F165" s="20">
        <f>MEDIAN('converted2usd+IQR'!F165, 'converted2usd+IQR'!$O165, 'converted2usd+IQR'!$P165)</f>
        <v>0</v>
      </c>
      <c r="G165" s="20">
        <f>MEDIAN('converted2usd+IQR'!G165, 'converted2usd+IQR'!$O165, 'converted2usd+IQR'!$P165)</f>
        <v>0</v>
      </c>
      <c r="H165" s="20">
        <f>MEDIAN('converted2usd+IQR'!H165, 'converted2usd+IQR'!$O165, 'converted2usd+IQR'!$P165)</f>
        <v>0</v>
      </c>
      <c r="I165" s="20">
        <f>MEDIAN('converted2usd+IQR'!I165, 'converted2usd+IQR'!$O165, 'converted2usd+IQR'!$P165)</f>
        <v>0</v>
      </c>
      <c r="J165" s="20">
        <f>MEDIAN('converted2usd+IQR'!J165, 'converted2usd+IQR'!$O165, 'converted2usd+IQR'!$P165)</f>
        <v>0</v>
      </c>
      <c r="K165" s="20">
        <f>MEDIAN('converted2usd+IQR'!K165, 'converted2usd+IQR'!$O165, 'converted2usd+IQR'!$P165)</f>
        <v>0</v>
      </c>
    </row>
    <row r="166" spans="1:11">
      <c r="A166" s="5" t="s">
        <v>163</v>
      </c>
      <c r="B166" s="20">
        <f>MEDIAN('converted2usd+IQR'!B166, 'converted2usd+IQR'!$O166, 'converted2usd+IQR'!$P166)</f>
        <v>-24970.888333800285</v>
      </c>
      <c r="C166" s="20">
        <f>MEDIAN('converted2usd+IQR'!C166, 'converted2usd+IQR'!$O166, 'converted2usd+IQR'!$P166)</f>
        <v>62302.948158068408</v>
      </c>
      <c r="D166" s="20">
        <f>MEDIAN('converted2usd+IQR'!D166, 'converted2usd+IQR'!$O166, 'converted2usd+IQR'!$P166)</f>
        <v>69304.500085393447</v>
      </c>
      <c r="E166" s="20">
        <f>MEDIAN('converted2usd+IQR'!E166, 'converted2usd+IQR'!$O166, 'converted2usd+IQR'!$P166)</f>
        <v>63105.77457672458</v>
      </c>
      <c r="F166" s="20">
        <f>MEDIAN('converted2usd+IQR'!F166, 'converted2usd+IQR'!$O166, 'converted2usd+IQR'!$P166)</f>
        <v>74291.014608986196</v>
      </c>
      <c r="G166" s="20">
        <f>MEDIAN('converted2usd+IQR'!G166, 'converted2usd+IQR'!$O166, 'converted2usd+IQR'!$P166)</f>
        <v>37233.746239114364</v>
      </c>
      <c r="H166" s="20">
        <f>MEDIAN('converted2usd+IQR'!H166, 'converted2usd+IQR'!$O166, 'converted2usd+IQR'!$P166)</f>
        <v>41036.503264927807</v>
      </c>
      <c r="I166" s="20">
        <f>MEDIAN('converted2usd+IQR'!I166, 'converted2usd+IQR'!$O166, 'converted2usd+IQR'!$P166)</f>
        <v>71343.387026714219</v>
      </c>
      <c r="J166" s="20">
        <f>MEDIAN('converted2usd+IQR'!J166, 'converted2usd+IQR'!$O166, 'converted2usd+IQR'!$P166)</f>
        <v>72501.446733230943</v>
      </c>
      <c r="K166" s="20">
        <f>MEDIAN('converted2usd+IQR'!K166, 'converted2usd+IQR'!$O166, 'converted2usd+IQR'!$P166)</f>
        <v>89291.30193996655</v>
      </c>
    </row>
    <row r="167" spans="1:11">
      <c r="A167" s="6" t="s">
        <v>164</v>
      </c>
      <c r="B167" s="20">
        <f>MEDIAN('converted2usd+IQR'!B167, 'converted2usd+IQR'!$O167, 'converted2usd+IQR'!$P167)</f>
        <v>0</v>
      </c>
      <c r="C167" s="20">
        <f>MEDIAN('converted2usd+IQR'!C167, 'converted2usd+IQR'!$O167, 'converted2usd+IQR'!$P167)</f>
        <v>0</v>
      </c>
      <c r="D167" s="20">
        <f>MEDIAN('converted2usd+IQR'!D167, 'converted2usd+IQR'!$O167, 'converted2usd+IQR'!$P167)</f>
        <v>0</v>
      </c>
      <c r="E167" s="20">
        <f>MEDIAN('converted2usd+IQR'!E167, 'converted2usd+IQR'!$O167, 'converted2usd+IQR'!$P167)</f>
        <v>0</v>
      </c>
      <c r="F167" s="20">
        <f>MEDIAN('converted2usd+IQR'!F167, 'converted2usd+IQR'!$O167, 'converted2usd+IQR'!$P167)</f>
        <v>0</v>
      </c>
      <c r="G167" s="20">
        <f>MEDIAN('converted2usd+IQR'!G167, 'converted2usd+IQR'!$O167, 'converted2usd+IQR'!$P167)</f>
        <v>0</v>
      </c>
      <c r="H167" s="20">
        <f>MEDIAN('converted2usd+IQR'!H167, 'converted2usd+IQR'!$O167, 'converted2usd+IQR'!$P167)</f>
        <v>0</v>
      </c>
      <c r="I167" s="20">
        <f>MEDIAN('converted2usd+IQR'!I167, 'converted2usd+IQR'!$O167, 'converted2usd+IQR'!$P167)</f>
        <v>0</v>
      </c>
      <c r="J167" s="20">
        <f>MEDIAN('converted2usd+IQR'!J167, 'converted2usd+IQR'!$O167, 'converted2usd+IQR'!$P167)</f>
        <v>0</v>
      </c>
      <c r="K167" s="20">
        <f>MEDIAN('converted2usd+IQR'!K167, 'converted2usd+IQR'!$O167, 'converted2usd+IQR'!$P167)</f>
        <v>0</v>
      </c>
    </row>
    <row r="168" spans="1:11">
      <c r="A168" s="5" t="s">
        <v>165</v>
      </c>
      <c r="B168" s="20">
        <f>MEDIAN('converted2usd+IQR'!B168, 'converted2usd+IQR'!$O168, 'converted2usd+IQR'!$P168)</f>
        <v>0</v>
      </c>
      <c r="C168" s="20">
        <f>MEDIAN('converted2usd+IQR'!C168, 'converted2usd+IQR'!$O168, 'converted2usd+IQR'!$P168)</f>
        <v>0</v>
      </c>
      <c r="D168" s="20">
        <f>MEDIAN('converted2usd+IQR'!D168, 'converted2usd+IQR'!$O168, 'converted2usd+IQR'!$P168)</f>
        <v>0</v>
      </c>
      <c r="E168" s="20">
        <f>MEDIAN('converted2usd+IQR'!E168, 'converted2usd+IQR'!$O168, 'converted2usd+IQR'!$P168)</f>
        <v>0</v>
      </c>
      <c r="F168" s="20">
        <f>MEDIAN('converted2usd+IQR'!F168, 'converted2usd+IQR'!$O168, 'converted2usd+IQR'!$P168)</f>
        <v>0</v>
      </c>
      <c r="G168" s="20">
        <f>MEDIAN('converted2usd+IQR'!G168, 'converted2usd+IQR'!$O168, 'converted2usd+IQR'!$P168)</f>
        <v>0</v>
      </c>
      <c r="H168" s="20">
        <f>MEDIAN('converted2usd+IQR'!H168, 'converted2usd+IQR'!$O168, 'converted2usd+IQR'!$P168)</f>
        <v>0</v>
      </c>
      <c r="I168" s="20">
        <f>MEDIAN('converted2usd+IQR'!I168, 'converted2usd+IQR'!$O168, 'converted2usd+IQR'!$P168)</f>
        <v>0</v>
      </c>
      <c r="J168" s="20">
        <f>MEDIAN('converted2usd+IQR'!J168, 'converted2usd+IQR'!$O168, 'converted2usd+IQR'!$P168)</f>
        <v>0</v>
      </c>
      <c r="K168" s="20">
        <f>MEDIAN('converted2usd+IQR'!K168, 'converted2usd+IQR'!$O168, 'converted2usd+IQR'!$P168)</f>
        <v>0</v>
      </c>
    </row>
    <row r="169" spans="1:11">
      <c r="A169" s="7" t="s">
        <v>166</v>
      </c>
      <c r="B169" s="20">
        <f>MEDIAN('converted2usd+IQR'!B169, 'converted2usd+IQR'!$O169, 'converted2usd+IQR'!$P169)</f>
        <v>-24970.888333800285</v>
      </c>
      <c r="C169" s="20">
        <f>MEDIAN('converted2usd+IQR'!C169, 'converted2usd+IQR'!$O169, 'converted2usd+IQR'!$P169)</f>
        <v>62302.948158068408</v>
      </c>
      <c r="D169" s="20">
        <f>MEDIAN('converted2usd+IQR'!D169, 'converted2usd+IQR'!$O169, 'converted2usd+IQR'!$P169)</f>
        <v>69304.500085393447</v>
      </c>
      <c r="E169" s="20">
        <f>MEDIAN('converted2usd+IQR'!E169, 'converted2usd+IQR'!$O169, 'converted2usd+IQR'!$P169)</f>
        <v>63105.77457672458</v>
      </c>
      <c r="F169" s="20">
        <f>MEDIAN('converted2usd+IQR'!F169, 'converted2usd+IQR'!$O169, 'converted2usd+IQR'!$P169)</f>
        <v>74291.014608986196</v>
      </c>
      <c r="G169" s="20">
        <f>MEDIAN('converted2usd+IQR'!G169, 'converted2usd+IQR'!$O169, 'converted2usd+IQR'!$P169)</f>
        <v>37233.746239114364</v>
      </c>
      <c r="H169" s="20">
        <f>MEDIAN('converted2usd+IQR'!H169, 'converted2usd+IQR'!$O169, 'converted2usd+IQR'!$P169)</f>
        <v>41036.503264927807</v>
      </c>
      <c r="I169" s="20">
        <f>MEDIAN('converted2usd+IQR'!I169, 'converted2usd+IQR'!$O169, 'converted2usd+IQR'!$P169)</f>
        <v>71343.387026714219</v>
      </c>
      <c r="J169" s="20">
        <f>MEDIAN('converted2usd+IQR'!J169, 'converted2usd+IQR'!$O169, 'converted2usd+IQR'!$P169)</f>
        <v>72501.446733230943</v>
      </c>
      <c r="K169" s="20">
        <f>MEDIAN('converted2usd+IQR'!K169, 'converted2usd+IQR'!$O169, 'converted2usd+IQR'!$P169)</f>
        <v>89291.30193996655</v>
      </c>
    </row>
    <row r="170" spans="1:11">
      <c r="A170" s="7" t="s">
        <v>167</v>
      </c>
      <c r="B170" s="20">
        <f>MEDIAN('converted2usd+IQR'!B170, 'converted2usd+IQR'!$O170, 'converted2usd+IQR'!$P170)</f>
        <v>131876.9035298464</v>
      </c>
      <c r="C170" s="20">
        <f>MEDIAN('converted2usd+IQR'!C170, 'converted2usd+IQR'!$O170, 'converted2usd+IQR'!$P170)</f>
        <v>16983.356879686777</v>
      </c>
      <c r="D170" s="20">
        <f>MEDIAN('converted2usd+IQR'!D170, 'converted2usd+IQR'!$O170, 'converted2usd+IQR'!$P170)</f>
        <v>35115.888136155038</v>
      </c>
      <c r="E170" s="20">
        <f>MEDIAN('converted2usd+IQR'!E170, 'converted2usd+IQR'!$O170, 'converted2usd+IQR'!$P170)</f>
        <v>47435.810967740865</v>
      </c>
      <c r="F170" s="20">
        <f>MEDIAN('converted2usd+IQR'!F170, 'converted2usd+IQR'!$O170, 'converted2usd+IQR'!$P170)</f>
        <v>42013.374020266434</v>
      </c>
      <c r="G170" s="20">
        <f>MEDIAN('converted2usd+IQR'!G170, 'converted2usd+IQR'!$O170, 'converted2usd+IQR'!$P170)</f>
        <v>29676.414270389603</v>
      </c>
      <c r="H170" s="20">
        <f>MEDIAN('converted2usd+IQR'!H170, 'converted2usd+IQR'!$O170, 'converted2usd+IQR'!$P170)</f>
        <v>37445.034320471153</v>
      </c>
      <c r="I170" s="20">
        <f>MEDIAN('converted2usd+IQR'!I170, 'converted2usd+IQR'!$O170, 'converted2usd+IQR'!$P170)</f>
        <v>71388.633173607508</v>
      </c>
      <c r="J170" s="20">
        <f>MEDIAN('converted2usd+IQR'!J170, 'converted2usd+IQR'!$O170, 'converted2usd+IQR'!$P170)</f>
        <v>60474.608056982739</v>
      </c>
      <c r="K170" s="20">
        <f>MEDIAN('converted2usd+IQR'!K170, 'converted2usd+IQR'!$O170, 'converted2usd+IQR'!$P170)</f>
        <v>65795.505608202584</v>
      </c>
    </row>
    <row r="171" spans="1:11">
      <c r="A171" s="6" t="s">
        <v>168</v>
      </c>
      <c r="B171" s="20">
        <f>MEDIAN('converted2usd+IQR'!B171, 'converted2usd+IQR'!$O171, 'converted2usd+IQR'!$P171)</f>
        <v>0</v>
      </c>
      <c r="C171" s="20">
        <f>MEDIAN('converted2usd+IQR'!C171, 'converted2usd+IQR'!$O171, 'converted2usd+IQR'!$P171)</f>
        <v>0</v>
      </c>
      <c r="D171" s="20">
        <f>MEDIAN('converted2usd+IQR'!D171, 'converted2usd+IQR'!$O171, 'converted2usd+IQR'!$P171)</f>
        <v>0</v>
      </c>
      <c r="E171" s="20">
        <f>MEDIAN('converted2usd+IQR'!E171, 'converted2usd+IQR'!$O171, 'converted2usd+IQR'!$P171)</f>
        <v>0</v>
      </c>
      <c r="F171" s="20">
        <f>MEDIAN('converted2usd+IQR'!F171, 'converted2usd+IQR'!$O171, 'converted2usd+IQR'!$P171)</f>
        <v>0</v>
      </c>
      <c r="G171" s="20">
        <f>MEDIAN('converted2usd+IQR'!G171, 'converted2usd+IQR'!$O171, 'converted2usd+IQR'!$P171)</f>
        <v>0</v>
      </c>
      <c r="H171" s="20">
        <f>MEDIAN('converted2usd+IQR'!H171, 'converted2usd+IQR'!$O171, 'converted2usd+IQR'!$P171)</f>
        <v>0</v>
      </c>
      <c r="I171" s="20">
        <f>MEDIAN('converted2usd+IQR'!I171, 'converted2usd+IQR'!$O171, 'converted2usd+IQR'!$P171)</f>
        <v>0</v>
      </c>
      <c r="J171" s="20">
        <f>MEDIAN('converted2usd+IQR'!J171, 'converted2usd+IQR'!$O171, 'converted2usd+IQR'!$P171)</f>
        <v>0</v>
      </c>
      <c r="K171" s="20">
        <f>MEDIAN('converted2usd+IQR'!K171, 'converted2usd+IQR'!$O171, 'converted2usd+IQR'!$P171)</f>
        <v>0</v>
      </c>
    </row>
    <row r="172" spans="1:11">
      <c r="A172" s="5" t="s">
        <v>169</v>
      </c>
      <c r="B172" s="20">
        <f>MEDIAN('converted2usd+IQR'!B172, 'converted2usd+IQR'!$O172, 'converted2usd+IQR'!$P172)</f>
        <v>0</v>
      </c>
      <c r="C172" s="20">
        <f>MEDIAN('converted2usd+IQR'!C172, 'converted2usd+IQR'!$O172, 'converted2usd+IQR'!$P172)</f>
        <v>0</v>
      </c>
      <c r="D172" s="20">
        <f>MEDIAN('converted2usd+IQR'!D172, 'converted2usd+IQR'!$O172, 'converted2usd+IQR'!$P172)</f>
        <v>0</v>
      </c>
      <c r="E172" s="20">
        <f>MEDIAN('converted2usd+IQR'!E172, 'converted2usd+IQR'!$O172, 'converted2usd+IQR'!$P172)</f>
        <v>0</v>
      </c>
      <c r="F172" s="20">
        <f>MEDIAN('converted2usd+IQR'!F172, 'converted2usd+IQR'!$O172, 'converted2usd+IQR'!$P172)</f>
        <v>0</v>
      </c>
      <c r="G172" s="20">
        <f>MEDIAN('converted2usd+IQR'!G172, 'converted2usd+IQR'!$O172, 'converted2usd+IQR'!$P172)</f>
        <v>0</v>
      </c>
      <c r="H172" s="20">
        <f>MEDIAN('converted2usd+IQR'!H172, 'converted2usd+IQR'!$O172, 'converted2usd+IQR'!$P172)</f>
        <v>0</v>
      </c>
      <c r="I172" s="20">
        <f>MEDIAN('converted2usd+IQR'!I172, 'converted2usd+IQR'!$O172, 'converted2usd+IQR'!$P172)</f>
        <v>0</v>
      </c>
      <c r="J172" s="20">
        <f>MEDIAN('converted2usd+IQR'!J172, 'converted2usd+IQR'!$O172, 'converted2usd+IQR'!$P172)</f>
        <v>0</v>
      </c>
      <c r="K172" s="20">
        <f>MEDIAN('converted2usd+IQR'!K172, 'converted2usd+IQR'!$O172, 'converted2usd+IQR'!$P172)</f>
        <v>0</v>
      </c>
    </row>
    <row r="173" spans="1:11">
      <c r="A173" s="6" t="s">
        <v>170</v>
      </c>
      <c r="B173" s="20">
        <f>MEDIAN('converted2usd+IQR'!B173, 'converted2usd+IQR'!$O173, 'converted2usd+IQR'!$P173)</f>
        <v>0</v>
      </c>
      <c r="C173" s="20">
        <f>MEDIAN('converted2usd+IQR'!C173, 'converted2usd+IQR'!$O173, 'converted2usd+IQR'!$P173)</f>
        <v>0</v>
      </c>
      <c r="D173" s="20">
        <f>MEDIAN('converted2usd+IQR'!D173, 'converted2usd+IQR'!$O173, 'converted2usd+IQR'!$P173)</f>
        <v>0</v>
      </c>
      <c r="E173" s="20">
        <f>MEDIAN('converted2usd+IQR'!E173, 'converted2usd+IQR'!$O173, 'converted2usd+IQR'!$P173)</f>
        <v>0</v>
      </c>
      <c r="F173" s="20">
        <f>MEDIAN('converted2usd+IQR'!F173, 'converted2usd+IQR'!$O173, 'converted2usd+IQR'!$P173)</f>
        <v>0</v>
      </c>
      <c r="G173" s="20">
        <f>MEDIAN('converted2usd+IQR'!G173, 'converted2usd+IQR'!$O173, 'converted2usd+IQR'!$P173)</f>
        <v>0</v>
      </c>
      <c r="H173" s="20">
        <f>MEDIAN('converted2usd+IQR'!H173, 'converted2usd+IQR'!$O173, 'converted2usd+IQR'!$P173)</f>
        <v>0</v>
      </c>
      <c r="I173" s="20">
        <f>MEDIAN('converted2usd+IQR'!I173, 'converted2usd+IQR'!$O173, 'converted2usd+IQR'!$P173)</f>
        <v>0</v>
      </c>
      <c r="J173" s="20">
        <f>MEDIAN('converted2usd+IQR'!J173, 'converted2usd+IQR'!$O173, 'converted2usd+IQR'!$P173)</f>
        <v>0</v>
      </c>
      <c r="K173" s="20">
        <f>MEDIAN('converted2usd+IQR'!K173, 'converted2usd+IQR'!$O173, 'converted2usd+IQR'!$P173)</f>
        <v>0</v>
      </c>
    </row>
    <row r="174" spans="1:11">
      <c r="A174" s="5" t="s">
        <v>171</v>
      </c>
      <c r="B174" s="20">
        <f>MEDIAN('converted2usd+IQR'!B174, 'converted2usd+IQR'!$O174, 'converted2usd+IQR'!$P174)</f>
        <v>3830.745837332548</v>
      </c>
      <c r="C174" s="20">
        <f>MEDIAN('converted2usd+IQR'!C174, 'converted2usd+IQR'!$O174, 'converted2usd+IQR'!$P174)</f>
        <v>6709.8821987481952</v>
      </c>
      <c r="D174" s="20">
        <f>MEDIAN('converted2usd+IQR'!D174, 'converted2usd+IQR'!$O174, 'converted2usd+IQR'!$P174)</f>
        <v>5327.2000499988335</v>
      </c>
      <c r="E174" s="20">
        <f>MEDIAN('converted2usd+IQR'!E174, 'converted2usd+IQR'!$O174, 'converted2usd+IQR'!$P174)</f>
        <v>4209.1733630324779</v>
      </c>
      <c r="F174" s="20">
        <f>MEDIAN('converted2usd+IQR'!F174, 'converted2usd+IQR'!$O174, 'converted2usd+IQR'!$P174)</f>
        <v>4684.9335735720551</v>
      </c>
      <c r="G174" s="20">
        <f>MEDIAN('converted2usd+IQR'!G174, 'converted2usd+IQR'!$O174, 'converted2usd+IQR'!$P174)</f>
        <v>6341.4511626859367</v>
      </c>
      <c r="H174" s="20">
        <f>MEDIAN('converted2usd+IQR'!H174, 'converted2usd+IQR'!$O174, 'converted2usd+IQR'!$P174)</f>
        <v>3162.4698044770998</v>
      </c>
      <c r="I174" s="20">
        <f>MEDIAN('converted2usd+IQR'!I174, 'converted2usd+IQR'!$O174, 'converted2usd+IQR'!$P174)</f>
        <v>4301.9923743937507</v>
      </c>
      <c r="J174" s="20">
        <f>MEDIAN('converted2usd+IQR'!J174, 'converted2usd+IQR'!$O174, 'converted2usd+IQR'!$P174)</f>
        <v>5224.839643640119</v>
      </c>
      <c r="K174" s="20">
        <f>MEDIAN('converted2usd+IQR'!K174, 'converted2usd+IQR'!$O174, 'converted2usd+IQR'!$P174)</f>
        <v>8459.4725141462732</v>
      </c>
    </row>
    <row r="175" spans="1:11">
      <c r="A175" s="6" t="s">
        <v>172</v>
      </c>
      <c r="B175" s="20">
        <f>MEDIAN('converted2usd+IQR'!B175, 'converted2usd+IQR'!$O175, 'converted2usd+IQR'!$P175)</f>
        <v>3604.487051466243</v>
      </c>
      <c r="C175" s="20">
        <f>MEDIAN('converted2usd+IQR'!C175, 'converted2usd+IQR'!$O175, 'converted2usd+IQR'!$P175)</f>
        <v>3616.4287798802161</v>
      </c>
      <c r="D175" s="20">
        <f>MEDIAN('converted2usd+IQR'!D175, 'converted2usd+IQR'!$O175, 'converted2usd+IQR'!$P175)</f>
        <v>4632.4266291097019</v>
      </c>
      <c r="E175" s="20">
        <f>MEDIAN('converted2usd+IQR'!E175, 'converted2usd+IQR'!$O175, 'converted2usd+IQR'!$P175)</f>
        <v>4080.9370036059031</v>
      </c>
      <c r="F175" s="20">
        <f>MEDIAN('converted2usd+IQR'!F175, 'converted2usd+IQR'!$O175, 'converted2usd+IQR'!$P175)</f>
        <v>4550.2637902385404</v>
      </c>
      <c r="G175" s="20">
        <f>MEDIAN('converted2usd+IQR'!G175, 'converted2usd+IQR'!$O175, 'converted2usd+IQR'!$P175)</f>
        <v>3154.1842108967862</v>
      </c>
      <c r="H175" s="20">
        <f>MEDIAN('converted2usd+IQR'!H175, 'converted2usd+IQR'!$O175, 'converted2usd+IQR'!$P175)</f>
        <v>2914.7096627601327</v>
      </c>
      <c r="I175" s="20">
        <f>MEDIAN('converted2usd+IQR'!I175, 'converted2usd+IQR'!$O175, 'converted2usd+IQR'!$P175)</f>
        <v>4309.1505665792238</v>
      </c>
      <c r="J175" s="20">
        <f>MEDIAN('converted2usd+IQR'!J175, 'converted2usd+IQR'!$O175, 'converted2usd+IQR'!$P175)</f>
        <v>6938.254509053525</v>
      </c>
      <c r="K175" s="20">
        <f>MEDIAN('converted2usd+IQR'!K175, 'converted2usd+IQR'!$O175, 'converted2usd+IQR'!$P175)</f>
        <v>7625.1262268584378</v>
      </c>
    </row>
    <row r="176" spans="1:11">
      <c r="A176" s="5" t="s">
        <v>173</v>
      </c>
      <c r="B176" s="20">
        <f>MEDIAN('converted2usd+IQR'!B176, 'converted2usd+IQR'!$O176, 'converted2usd+IQR'!$P176)</f>
        <v>0</v>
      </c>
      <c r="C176" s="20">
        <f>MEDIAN('converted2usd+IQR'!C176, 'converted2usd+IQR'!$O176, 'converted2usd+IQR'!$P176)</f>
        <v>0</v>
      </c>
      <c r="D176" s="20">
        <f>MEDIAN('converted2usd+IQR'!D176, 'converted2usd+IQR'!$O176, 'converted2usd+IQR'!$P176)</f>
        <v>0</v>
      </c>
      <c r="E176" s="20">
        <f>MEDIAN('converted2usd+IQR'!E176, 'converted2usd+IQR'!$O176, 'converted2usd+IQR'!$P176)</f>
        <v>0</v>
      </c>
      <c r="F176" s="20">
        <f>MEDIAN('converted2usd+IQR'!F176, 'converted2usd+IQR'!$O176, 'converted2usd+IQR'!$P176)</f>
        <v>0</v>
      </c>
      <c r="G176" s="20">
        <f>MEDIAN('converted2usd+IQR'!G176, 'converted2usd+IQR'!$O176, 'converted2usd+IQR'!$P176)</f>
        <v>0</v>
      </c>
      <c r="H176" s="20">
        <f>MEDIAN('converted2usd+IQR'!H176, 'converted2usd+IQR'!$O176, 'converted2usd+IQR'!$P176)</f>
        <v>0</v>
      </c>
      <c r="I176" s="20">
        <f>MEDIAN('converted2usd+IQR'!I176, 'converted2usd+IQR'!$O176, 'converted2usd+IQR'!$P176)</f>
        <v>0</v>
      </c>
      <c r="J176" s="20">
        <f>MEDIAN('converted2usd+IQR'!J176, 'converted2usd+IQR'!$O176, 'converted2usd+IQR'!$P176)</f>
        <v>0</v>
      </c>
      <c r="K176" s="20">
        <f>MEDIAN('converted2usd+IQR'!K176, 'converted2usd+IQR'!$O176, 'converted2usd+IQR'!$P176)</f>
        <v>0</v>
      </c>
    </row>
    <row r="177" spans="1:11">
      <c r="A177" s="6" t="s">
        <v>174</v>
      </c>
      <c r="B177" s="20">
        <f>MEDIAN('converted2usd+IQR'!B177, 'converted2usd+IQR'!$O177, 'converted2usd+IQR'!$P177)</f>
        <v>0</v>
      </c>
      <c r="C177" s="20">
        <f>MEDIAN('converted2usd+IQR'!C177, 'converted2usd+IQR'!$O177, 'converted2usd+IQR'!$P177)</f>
        <v>0</v>
      </c>
      <c r="D177" s="20">
        <f>MEDIAN('converted2usd+IQR'!D177, 'converted2usd+IQR'!$O177, 'converted2usd+IQR'!$P177)</f>
        <v>0</v>
      </c>
      <c r="E177" s="20">
        <f>MEDIAN('converted2usd+IQR'!E177, 'converted2usd+IQR'!$O177, 'converted2usd+IQR'!$P177)</f>
        <v>0</v>
      </c>
      <c r="F177" s="20">
        <f>MEDIAN('converted2usd+IQR'!F177, 'converted2usd+IQR'!$O177, 'converted2usd+IQR'!$P177)</f>
        <v>0</v>
      </c>
      <c r="G177" s="20">
        <f>MEDIAN('converted2usd+IQR'!G177, 'converted2usd+IQR'!$O177, 'converted2usd+IQR'!$P177)</f>
        <v>0</v>
      </c>
      <c r="H177" s="20">
        <f>MEDIAN('converted2usd+IQR'!H177, 'converted2usd+IQR'!$O177, 'converted2usd+IQR'!$P177)</f>
        <v>0</v>
      </c>
      <c r="I177" s="20">
        <f>MEDIAN('converted2usd+IQR'!I177, 'converted2usd+IQR'!$O177, 'converted2usd+IQR'!$P177)</f>
        <v>0</v>
      </c>
      <c r="J177" s="20">
        <f>MEDIAN('converted2usd+IQR'!J177, 'converted2usd+IQR'!$O177, 'converted2usd+IQR'!$P177)</f>
        <v>0</v>
      </c>
      <c r="K177" s="20">
        <f>MEDIAN('converted2usd+IQR'!K177, 'converted2usd+IQR'!$O177, 'converted2usd+IQR'!$P177)</f>
        <v>0</v>
      </c>
    </row>
    <row r="178" spans="1:11">
      <c r="A178" s="5" t="s">
        <v>175</v>
      </c>
      <c r="B178" s="20">
        <f>MEDIAN('converted2usd+IQR'!B178, 'converted2usd+IQR'!$O178, 'converted2usd+IQR'!$P178)</f>
        <v>0</v>
      </c>
      <c r="C178" s="20">
        <f>MEDIAN('converted2usd+IQR'!C178, 'converted2usd+IQR'!$O178, 'converted2usd+IQR'!$P178)</f>
        <v>0</v>
      </c>
      <c r="D178" s="20">
        <f>MEDIAN('converted2usd+IQR'!D178, 'converted2usd+IQR'!$O178, 'converted2usd+IQR'!$P178)</f>
        <v>0</v>
      </c>
      <c r="E178" s="20">
        <f>MEDIAN('converted2usd+IQR'!E178, 'converted2usd+IQR'!$O178, 'converted2usd+IQR'!$P178)</f>
        <v>0</v>
      </c>
      <c r="F178" s="20">
        <f>MEDIAN('converted2usd+IQR'!F178, 'converted2usd+IQR'!$O178, 'converted2usd+IQR'!$P178)</f>
        <v>0</v>
      </c>
      <c r="G178" s="20">
        <f>MEDIAN('converted2usd+IQR'!G178, 'converted2usd+IQR'!$O178, 'converted2usd+IQR'!$P178)</f>
        <v>0</v>
      </c>
      <c r="H178" s="20">
        <f>MEDIAN('converted2usd+IQR'!H178, 'converted2usd+IQR'!$O178, 'converted2usd+IQR'!$P178)</f>
        <v>0</v>
      </c>
      <c r="I178" s="20">
        <f>MEDIAN('converted2usd+IQR'!I178, 'converted2usd+IQR'!$O178, 'converted2usd+IQR'!$P178)</f>
        <v>0</v>
      </c>
      <c r="J178" s="20">
        <f>MEDIAN('converted2usd+IQR'!J178, 'converted2usd+IQR'!$O178, 'converted2usd+IQR'!$P178)</f>
        <v>0</v>
      </c>
      <c r="K178" s="20">
        <f>MEDIAN('converted2usd+IQR'!K178, 'converted2usd+IQR'!$O178, 'converted2usd+IQR'!$P178)</f>
        <v>0</v>
      </c>
    </row>
    <row r="179" spans="1:11">
      <c r="A179" s="6" t="s">
        <v>176</v>
      </c>
      <c r="B179" s="20">
        <f>MEDIAN('converted2usd+IQR'!B179, 'converted2usd+IQR'!$O179, 'converted2usd+IQR'!$P179)</f>
        <v>0</v>
      </c>
      <c r="C179" s="20">
        <f>MEDIAN('converted2usd+IQR'!C179, 'converted2usd+IQR'!$O179, 'converted2usd+IQR'!$P179)</f>
        <v>0</v>
      </c>
      <c r="D179" s="20">
        <f>MEDIAN('converted2usd+IQR'!D179, 'converted2usd+IQR'!$O179, 'converted2usd+IQR'!$P179)</f>
        <v>0</v>
      </c>
      <c r="E179" s="20">
        <f>MEDIAN('converted2usd+IQR'!E179, 'converted2usd+IQR'!$O179, 'converted2usd+IQR'!$P179)</f>
        <v>0</v>
      </c>
      <c r="F179" s="20">
        <f>MEDIAN('converted2usd+IQR'!F179, 'converted2usd+IQR'!$O179, 'converted2usd+IQR'!$P179)</f>
        <v>0</v>
      </c>
      <c r="G179" s="20">
        <f>MEDIAN('converted2usd+IQR'!G179, 'converted2usd+IQR'!$O179, 'converted2usd+IQR'!$P179)</f>
        <v>0</v>
      </c>
      <c r="H179" s="20">
        <f>MEDIAN('converted2usd+IQR'!H179, 'converted2usd+IQR'!$O179, 'converted2usd+IQR'!$P179)</f>
        <v>0</v>
      </c>
      <c r="I179" s="20">
        <f>MEDIAN('converted2usd+IQR'!I179, 'converted2usd+IQR'!$O179, 'converted2usd+IQR'!$P179)</f>
        <v>0</v>
      </c>
      <c r="J179" s="20">
        <f>MEDIAN('converted2usd+IQR'!J179, 'converted2usd+IQR'!$O179, 'converted2usd+IQR'!$P179)</f>
        <v>0</v>
      </c>
      <c r="K179" s="20">
        <f>MEDIAN('converted2usd+IQR'!K179, 'converted2usd+IQR'!$O179, 'converted2usd+IQR'!$P179)</f>
        <v>0</v>
      </c>
    </row>
    <row r="180" spans="1:11">
      <c r="A180" s="5" t="s">
        <v>177</v>
      </c>
      <c r="B180" s="20">
        <f>MEDIAN('converted2usd+IQR'!B180, 'converted2usd+IQR'!$O180, 'converted2usd+IQR'!$P180)</f>
        <v>0</v>
      </c>
      <c r="C180" s="20">
        <f>MEDIAN('converted2usd+IQR'!C180, 'converted2usd+IQR'!$O180, 'converted2usd+IQR'!$P180)</f>
        <v>0</v>
      </c>
      <c r="D180" s="20">
        <f>MEDIAN('converted2usd+IQR'!D180, 'converted2usd+IQR'!$O180, 'converted2usd+IQR'!$P180)</f>
        <v>0</v>
      </c>
      <c r="E180" s="20">
        <f>MEDIAN('converted2usd+IQR'!E180, 'converted2usd+IQR'!$O180, 'converted2usd+IQR'!$P180)</f>
        <v>0</v>
      </c>
      <c r="F180" s="20">
        <f>MEDIAN('converted2usd+IQR'!F180, 'converted2usd+IQR'!$O180, 'converted2usd+IQR'!$P180)</f>
        <v>0</v>
      </c>
      <c r="G180" s="20">
        <f>MEDIAN('converted2usd+IQR'!G180, 'converted2usd+IQR'!$O180, 'converted2usd+IQR'!$P180)</f>
        <v>0</v>
      </c>
      <c r="H180" s="20">
        <f>MEDIAN('converted2usd+IQR'!H180, 'converted2usd+IQR'!$O180, 'converted2usd+IQR'!$P180)</f>
        <v>0</v>
      </c>
      <c r="I180" s="20">
        <f>MEDIAN('converted2usd+IQR'!I180, 'converted2usd+IQR'!$O180, 'converted2usd+IQR'!$P180)</f>
        <v>0</v>
      </c>
      <c r="J180" s="20">
        <f>MEDIAN('converted2usd+IQR'!J180, 'converted2usd+IQR'!$O180, 'converted2usd+IQR'!$P180)</f>
        <v>0</v>
      </c>
      <c r="K180" s="20">
        <f>MEDIAN('converted2usd+IQR'!K180, 'converted2usd+IQR'!$O180, 'converted2usd+IQR'!$P180)</f>
        <v>0</v>
      </c>
    </row>
    <row r="181" spans="1:11">
      <c r="A181" s="6" t="s">
        <v>178</v>
      </c>
      <c r="B181" s="20">
        <f>MEDIAN('converted2usd+IQR'!B181, 'converted2usd+IQR'!$O181, 'converted2usd+IQR'!$P181)</f>
        <v>-1055.9499764517902</v>
      </c>
      <c r="C181" s="20">
        <f>MEDIAN('converted2usd+IQR'!C181, 'converted2usd+IQR'!$O181, 'converted2usd+IQR'!$P181)</f>
        <v>-946.39232689390622</v>
      </c>
      <c r="D181" s="20">
        <f>MEDIAN('converted2usd+IQR'!D181, 'converted2usd+IQR'!$O181, 'converted2usd+IQR'!$P181)</f>
        <v>-256.92745706159758</v>
      </c>
      <c r="E181" s="20">
        <f>MEDIAN('converted2usd+IQR'!E181, 'converted2usd+IQR'!$O181, 'converted2usd+IQR'!$P181)</f>
        <v>-978.10966843341998</v>
      </c>
      <c r="F181" s="20">
        <f>MEDIAN('converted2usd+IQR'!F181, 'converted2usd+IQR'!$O181, 'converted2usd+IQR'!$P181)</f>
        <v>-1222.6181403091798</v>
      </c>
      <c r="G181" s="20">
        <f>MEDIAN('converted2usd+IQR'!G181, 'converted2usd+IQR'!$O181, 'converted2usd+IQR'!$P181)</f>
        <v>-892.44162638068133</v>
      </c>
      <c r="H181" s="20">
        <f>MEDIAN('converted2usd+IQR'!H181, 'converted2usd+IQR'!$O181, 'converted2usd+IQR'!$P181)</f>
        <v>-644.36336634362999</v>
      </c>
      <c r="I181" s="20">
        <f>MEDIAN('converted2usd+IQR'!I181, 'converted2usd+IQR'!$O181, 'converted2usd+IQR'!$P181)</f>
        <v>-803.18358941040015</v>
      </c>
      <c r="J181" s="20">
        <f>MEDIAN('converted2usd+IQR'!J181, 'converted2usd+IQR'!$O181, 'converted2usd+IQR'!$P181)</f>
        <v>-764.99283808425969</v>
      </c>
      <c r="K181" s="20">
        <f>MEDIAN('converted2usd+IQR'!K181, 'converted2usd+IQR'!$O181, 'converted2usd+IQR'!$P181)</f>
        <v>-1822.3380200414067</v>
      </c>
    </row>
    <row r="182" spans="1:11">
      <c r="A182" s="5" t="s">
        <v>179</v>
      </c>
      <c r="B182" s="20">
        <f>MEDIAN('converted2usd+IQR'!B182, 'converted2usd+IQR'!$O182, 'converted2usd+IQR'!$P182)</f>
        <v>0</v>
      </c>
      <c r="C182" s="20">
        <f>MEDIAN('converted2usd+IQR'!C182, 'converted2usd+IQR'!$O182, 'converted2usd+IQR'!$P182)</f>
        <v>0</v>
      </c>
      <c r="D182" s="20">
        <f>MEDIAN('converted2usd+IQR'!D182, 'converted2usd+IQR'!$O182, 'converted2usd+IQR'!$P182)</f>
        <v>0</v>
      </c>
      <c r="E182" s="20">
        <f>MEDIAN('converted2usd+IQR'!E182, 'converted2usd+IQR'!$O182, 'converted2usd+IQR'!$P182)</f>
        <v>0</v>
      </c>
      <c r="F182" s="20">
        <f>MEDIAN('converted2usd+IQR'!F182, 'converted2usd+IQR'!$O182, 'converted2usd+IQR'!$P182)</f>
        <v>0</v>
      </c>
      <c r="G182" s="20">
        <f>MEDIAN('converted2usd+IQR'!G182, 'converted2usd+IQR'!$O182, 'converted2usd+IQR'!$P182)</f>
        <v>0</v>
      </c>
      <c r="H182" s="20">
        <f>MEDIAN('converted2usd+IQR'!H182, 'converted2usd+IQR'!$O182, 'converted2usd+IQR'!$P182)</f>
        <v>0</v>
      </c>
      <c r="I182" s="20">
        <f>MEDIAN('converted2usd+IQR'!I182, 'converted2usd+IQR'!$O182, 'converted2usd+IQR'!$P182)</f>
        <v>0</v>
      </c>
      <c r="J182" s="20">
        <f>MEDIAN('converted2usd+IQR'!J182, 'converted2usd+IQR'!$O182, 'converted2usd+IQR'!$P182)</f>
        <v>0</v>
      </c>
      <c r="K182" s="20">
        <f>MEDIAN('converted2usd+IQR'!K182, 'converted2usd+IQR'!$O182, 'converted2usd+IQR'!$P182)</f>
        <v>0</v>
      </c>
    </row>
    <row r="183" spans="1:11">
      <c r="A183" s="6" t="s">
        <v>180</v>
      </c>
      <c r="B183" s="20">
        <f>MEDIAN('converted2usd+IQR'!B183, 'converted2usd+IQR'!$O183, 'converted2usd+IQR'!$P183)</f>
        <v>0</v>
      </c>
      <c r="C183" s="20">
        <f>MEDIAN('converted2usd+IQR'!C183, 'converted2usd+IQR'!$O183, 'converted2usd+IQR'!$P183)</f>
        <v>0</v>
      </c>
      <c r="D183" s="20">
        <f>MEDIAN('converted2usd+IQR'!D183, 'converted2usd+IQR'!$O183, 'converted2usd+IQR'!$P183)</f>
        <v>0</v>
      </c>
      <c r="E183" s="20">
        <f>MEDIAN('converted2usd+IQR'!E183, 'converted2usd+IQR'!$O183, 'converted2usd+IQR'!$P183)</f>
        <v>0</v>
      </c>
      <c r="F183" s="20">
        <f>MEDIAN('converted2usd+IQR'!F183, 'converted2usd+IQR'!$O183, 'converted2usd+IQR'!$P183)</f>
        <v>0</v>
      </c>
      <c r="G183" s="20">
        <f>MEDIAN('converted2usd+IQR'!G183, 'converted2usd+IQR'!$O183, 'converted2usd+IQR'!$P183)</f>
        <v>0</v>
      </c>
      <c r="H183" s="20">
        <f>MEDIAN('converted2usd+IQR'!H183, 'converted2usd+IQR'!$O183, 'converted2usd+IQR'!$P183)</f>
        <v>0</v>
      </c>
      <c r="I183" s="20">
        <f>MEDIAN('converted2usd+IQR'!I183, 'converted2usd+IQR'!$O183, 'converted2usd+IQR'!$P183)</f>
        <v>0</v>
      </c>
      <c r="J183" s="20">
        <f>MEDIAN('converted2usd+IQR'!J183, 'converted2usd+IQR'!$O183, 'converted2usd+IQR'!$P183)</f>
        <v>0</v>
      </c>
      <c r="K183" s="20">
        <f>MEDIAN('converted2usd+IQR'!K183, 'converted2usd+IQR'!$O183, 'converted2usd+IQR'!$P183)</f>
        <v>0</v>
      </c>
    </row>
    <row r="184" spans="1:11">
      <c r="A184" s="5" t="s">
        <v>181</v>
      </c>
      <c r="B184" s="20">
        <f>MEDIAN('converted2usd+IQR'!B184, 'converted2usd+IQR'!$O184, 'converted2usd+IQR'!$P184)</f>
        <v>0</v>
      </c>
      <c r="C184" s="20">
        <f>MEDIAN('converted2usd+IQR'!C184, 'converted2usd+IQR'!$O184, 'converted2usd+IQR'!$P184)</f>
        <v>0</v>
      </c>
      <c r="D184" s="20">
        <f>MEDIAN('converted2usd+IQR'!D184, 'converted2usd+IQR'!$O184, 'converted2usd+IQR'!$P184)</f>
        <v>0</v>
      </c>
      <c r="E184" s="20">
        <f>MEDIAN('converted2usd+IQR'!E184, 'converted2usd+IQR'!$O184, 'converted2usd+IQR'!$P184)</f>
        <v>0</v>
      </c>
      <c r="F184" s="20">
        <f>MEDIAN('converted2usd+IQR'!F184, 'converted2usd+IQR'!$O184, 'converted2usd+IQR'!$P184)</f>
        <v>0</v>
      </c>
      <c r="G184" s="20">
        <f>MEDIAN('converted2usd+IQR'!G184, 'converted2usd+IQR'!$O184, 'converted2usd+IQR'!$P184)</f>
        <v>0</v>
      </c>
      <c r="H184" s="20">
        <f>MEDIAN('converted2usd+IQR'!H184, 'converted2usd+IQR'!$O184, 'converted2usd+IQR'!$P184)</f>
        <v>0</v>
      </c>
      <c r="I184" s="20">
        <f>MEDIAN('converted2usd+IQR'!I184, 'converted2usd+IQR'!$O184, 'converted2usd+IQR'!$P184)</f>
        <v>0</v>
      </c>
      <c r="J184" s="20">
        <f>MEDIAN('converted2usd+IQR'!J184, 'converted2usd+IQR'!$O184, 'converted2usd+IQR'!$P184)</f>
        <v>0</v>
      </c>
      <c r="K184" s="20">
        <f>MEDIAN('converted2usd+IQR'!K184, 'converted2usd+IQR'!$O184, 'converted2usd+IQR'!$P184)</f>
        <v>0</v>
      </c>
    </row>
    <row r="185" spans="1:11">
      <c r="A185" s="6" t="s">
        <v>182</v>
      </c>
      <c r="B185" s="20">
        <f>MEDIAN('converted2usd+IQR'!B185, 'converted2usd+IQR'!$O185, 'converted2usd+IQR'!$P185)</f>
        <v>0</v>
      </c>
      <c r="C185" s="20">
        <f>MEDIAN('converted2usd+IQR'!C185, 'converted2usd+IQR'!$O185, 'converted2usd+IQR'!$P185)</f>
        <v>0</v>
      </c>
      <c r="D185" s="20">
        <f>MEDIAN('converted2usd+IQR'!D185, 'converted2usd+IQR'!$O185, 'converted2usd+IQR'!$P185)</f>
        <v>0</v>
      </c>
      <c r="E185" s="20">
        <f>MEDIAN('converted2usd+IQR'!E185, 'converted2usd+IQR'!$O185, 'converted2usd+IQR'!$P185)</f>
        <v>0</v>
      </c>
      <c r="F185" s="20">
        <f>MEDIAN('converted2usd+IQR'!F185, 'converted2usd+IQR'!$O185, 'converted2usd+IQR'!$P185)</f>
        <v>0</v>
      </c>
      <c r="G185" s="20">
        <f>MEDIAN('converted2usd+IQR'!G185, 'converted2usd+IQR'!$O185, 'converted2usd+IQR'!$P185)</f>
        <v>0</v>
      </c>
      <c r="H185" s="20">
        <f>MEDIAN('converted2usd+IQR'!H185, 'converted2usd+IQR'!$O185, 'converted2usd+IQR'!$P185)</f>
        <v>0</v>
      </c>
      <c r="I185" s="20">
        <f>MEDIAN('converted2usd+IQR'!I185, 'converted2usd+IQR'!$O185, 'converted2usd+IQR'!$P185)</f>
        <v>0</v>
      </c>
      <c r="J185" s="20">
        <f>MEDIAN('converted2usd+IQR'!J185, 'converted2usd+IQR'!$O185, 'converted2usd+IQR'!$P185)</f>
        <v>0</v>
      </c>
      <c r="K185" s="20">
        <f>MEDIAN('converted2usd+IQR'!K185, 'converted2usd+IQR'!$O185, 'converted2usd+IQR'!$P185)</f>
        <v>0</v>
      </c>
    </row>
    <row r="186" spans="1:11">
      <c r="A186" s="5" t="s">
        <v>183</v>
      </c>
      <c r="B186" s="20">
        <f>MEDIAN('converted2usd+IQR'!B186, 'converted2usd+IQR'!$O186, 'converted2usd+IQR'!$P186)</f>
        <v>0</v>
      </c>
      <c r="C186" s="20">
        <f>MEDIAN('converted2usd+IQR'!C186, 'converted2usd+IQR'!$O186, 'converted2usd+IQR'!$P186)</f>
        <v>0</v>
      </c>
      <c r="D186" s="20">
        <f>MEDIAN('converted2usd+IQR'!D186, 'converted2usd+IQR'!$O186, 'converted2usd+IQR'!$P186)</f>
        <v>152.69960570185168</v>
      </c>
      <c r="E186" s="20">
        <f>MEDIAN('converted2usd+IQR'!E186, 'converted2usd+IQR'!$O186, 'converted2usd+IQR'!$P186)</f>
        <v>90.628303685050497</v>
      </c>
      <c r="F186" s="20">
        <f>MEDIAN('converted2usd+IQR'!F186, 'converted2usd+IQR'!$O186, 'converted2usd+IQR'!$P186)</f>
        <v>65.089458824335239</v>
      </c>
      <c r="G186" s="20">
        <f>MEDIAN('converted2usd+IQR'!G186, 'converted2usd+IQR'!$O186, 'converted2usd+IQR'!$P186)</f>
        <v>81.032601381314294</v>
      </c>
      <c r="H186" s="20">
        <f>MEDIAN('converted2usd+IQR'!H186, 'converted2usd+IQR'!$O186, 'converted2usd+IQR'!$P186)</f>
        <v>328.15333752844833</v>
      </c>
      <c r="I186" s="20">
        <f>MEDIAN('converted2usd+IQR'!I186, 'converted2usd+IQR'!$O186, 'converted2usd+IQR'!$P186)</f>
        <v>100.64314011277294</v>
      </c>
      <c r="J186" s="20">
        <f>MEDIAN('converted2usd+IQR'!J186, 'converted2usd+IQR'!$O186, 'converted2usd+IQR'!$P186)</f>
        <v>285.96038582790504</v>
      </c>
      <c r="K186" s="20">
        <f>MEDIAN('converted2usd+IQR'!K186, 'converted2usd+IQR'!$O186, 'converted2usd+IQR'!$P186)</f>
        <v>225.51581417039191</v>
      </c>
    </row>
    <row r="187" spans="1:11">
      <c r="A187" s="6" t="s">
        <v>184</v>
      </c>
      <c r="B187" s="20">
        <f>MEDIAN('converted2usd+IQR'!B187, 'converted2usd+IQR'!$O187, 'converted2usd+IQR'!$P187)</f>
        <v>0</v>
      </c>
      <c r="C187" s="20">
        <f>MEDIAN('converted2usd+IQR'!C187, 'converted2usd+IQR'!$O187, 'converted2usd+IQR'!$P187)</f>
        <v>0</v>
      </c>
      <c r="D187" s="20">
        <f>MEDIAN('converted2usd+IQR'!D187, 'converted2usd+IQR'!$O187, 'converted2usd+IQR'!$P187)</f>
        <v>0</v>
      </c>
      <c r="E187" s="20">
        <f>MEDIAN('converted2usd+IQR'!E187, 'converted2usd+IQR'!$O187, 'converted2usd+IQR'!$P187)</f>
        <v>0</v>
      </c>
      <c r="F187" s="20">
        <f>MEDIAN('converted2usd+IQR'!F187, 'converted2usd+IQR'!$O187, 'converted2usd+IQR'!$P187)</f>
        <v>0</v>
      </c>
      <c r="G187" s="20">
        <f>MEDIAN('converted2usd+IQR'!G187, 'converted2usd+IQR'!$O187, 'converted2usd+IQR'!$P187)</f>
        <v>0</v>
      </c>
      <c r="H187" s="20">
        <f>MEDIAN('converted2usd+IQR'!H187, 'converted2usd+IQR'!$O187, 'converted2usd+IQR'!$P187)</f>
        <v>0</v>
      </c>
      <c r="I187" s="20">
        <f>MEDIAN('converted2usd+IQR'!I187, 'converted2usd+IQR'!$O187, 'converted2usd+IQR'!$P187)</f>
        <v>0</v>
      </c>
      <c r="J187" s="20">
        <f>MEDIAN('converted2usd+IQR'!J187, 'converted2usd+IQR'!$O187, 'converted2usd+IQR'!$P187)</f>
        <v>0</v>
      </c>
      <c r="K187" s="20">
        <f>MEDIAN('converted2usd+IQR'!K187, 'converted2usd+IQR'!$O187, 'converted2usd+IQR'!$P187)</f>
        <v>0</v>
      </c>
    </row>
    <row r="188" spans="1:11">
      <c r="A188" s="5" t="s">
        <v>185</v>
      </c>
      <c r="B188" s="20">
        <f>MEDIAN('converted2usd+IQR'!B188, 'converted2usd+IQR'!$O188, 'converted2usd+IQR'!$P188)</f>
        <v>24970.888333800285</v>
      </c>
      <c r="C188" s="20">
        <f>MEDIAN('converted2usd+IQR'!C188, 'converted2usd+IQR'!$O188, 'converted2usd+IQR'!$P188)</f>
        <v>22319.345722310925</v>
      </c>
      <c r="D188" s="20">
        <f>MEDIAN('converted2usd+IQR'!D188, 'converted2usd+IQR'!$O188, 'converted2usd+IQR'!$P188)</f>
        <v>22422.550153585467</v>
      </c>
      <c r="E188" s="20">
        <f>MEDIAN('converted2usd+IQR'!E188, 'converted2usd+IQR'!$O188, 'converted2usd+IQR'!$P188)</f>
        <v>21456.223806096499</v>
      </c>
      <c r="F188" s="20">
        <f>MEDIAN('converted2usd+IQR'!F188, 'converted2usd+IQR'!$O188, 'converted2usd+IQR'!$P188)</f>
        <v>19895.581470678375</v>
      </c>
      <c r="G188" s="20">
        <f>MEDIAN('converted2usd+IQR'!G188, 'converted2usd+IQR'!$O188, 'converted2usd+IQR'!$P188)</f>
        <v>16325.657853022092</v>
      </c>
      <c r="H188" s="20">
        <f>MEDIAN('converted2usd+IQR'!H188, 'converted2usd+IQR'!$O188, 'converted2usd+IQR'!$P188)</f>
        <v>10864.443747400746</v>
      </c>
      <c r="I188" s="20">
        <f>MEDIAN('converted2usd+IQR'!I188, 'converted2usd+IQR'!$O188, 'converted2usd+IQR'!$P188)</f>
        <v>35043.278961926699</v>
      </c>
      <c r="J188" s="20">
        <f>MEDIAN('converted2usd+IQR'!J188, 'converted2usd+IQR'!$O188, 'converted2usd+IQR'!$P188)</f>
        <v>26654.310034327886</v>
      </c>
      <c r="K188" s="20">
        <f>MEDIAN('converted2usd+IQR'!K188, 'converted2usd+IQR'!$O188, 'converted2usd+IQR'!$P188)</f>
        <v>29910.932168018349</v>
      </c>
    </row>
    <row r="189" spans="1:11">
      <c r="A189" s="6" t="s">
        <v>186</v>
      </c>
      <c r="B189" s="20">
        <f>MEDIAN('converted2usd+IQR'!B189, 'converted2usd+IQR'!$O189, 'converted2usd+IQR'!$P189)</f>
        <v>0</v>
      </c>
      <c r="C189" s="20">
        <f>MEDIAN('converted2usd+IQR'!C189, 'converted2usd+IQR'!$O189, 'converted2usd+IQR'!$P189)</f>
        <v>0</v>
      </c>
      <c r="D189" s="20">
        <f>MEDIAN('converted2usd+IQR'!D189, 'converted2usd+IQR'!$O189, 'converted2usd+IQR'!$P189)</f>
        <v>0</v>
      </c>
      <c r="E189" s="20">
        <f>MEDIAN('converted2usd+IQR'!E189, 'converted2usd+IQR'!$O189, 'converted2usd+IQR'!$P189)</f>
        <v>0</v>
      </c>
      <c r="F189" s="20">
        <f>MEDIAN('converted2usd+IQR'!F189, 'converted2usd+IQR'!$O189, 'converted2usd+IQR'!$P189)</f>
        <v>0</v>
      </c>
      <c r="G189" s="20">
        <f>MEDIAN('converted2usd+IQR'!G189, 'converted2usd+IQR'!$O189, 'converted2usd+IQR'!$P189)</f>
        <v>0</v>
      </c>
      <c r="H189" s="20">
        <f>MEDIAN('converted2usd+IQR'!H189, 'converted2usd+IQR'!$O189, 'converted2usd+IQR'!$P189)</f>
        <v>0</v>
      </c>
      <c r="I189" s="20">
        <f>MEDIAN('converted2usd+IQR'!I189, 'converted2usd+IQR'!$O189, 'converted2usd+IQR'!$P189)</f>
        <v>0</v>
      </c>
      <c r="J189" s="20">
        <f>MEDIAN('converted2usd+IQR'!J189, 'converted2usd+IQR'!$O189, 'converted2usd+IQR'!$P189)</f>
        <v>0</v>
      </c>
      <c r="K189" s="20">
        <f>MEDIAN('converted2usd+IQR'!K189, 'converted2usd+IQR'!$O189, 'converted2usd+IQR'!$P189)</f>
        <v>0</v>
      </c>
    </row>
    <row r="190" spans="1:11">
      <c r="A190" s="5" t="s">
        <v>187</v>
      </c>
      <c r="B190" s="20">
        <f>MEDIAN('converted2usd+IQR'!B190, 'converted2usd+IQR'!$O190, 'converted2usd+IQR'!$P190)</f>
        <v>0</v>
      </c>
      <c r="C190" s="20">
        <f>MEDIAN('converted2usd+IQR'!C190, 'converted2usd+IQR'!$O190, 'converted2usd+IQR'!$P190)</f>
        <v>0</v>
      </c>
      <c r="D190" s="20">
        <f>MEDIAN('converted2usd+IQR'!D190, 'converted2usd+IQR'!$O190, 'converted2usd+IQR'!$P190)</f>
        <v>0</v>
      </c>
      <c r="E190" s="20">
        <f>MEDIAN('converted2usd+IQR'!E190, 'converted2usd+IQR'!$O190, 'converted2usd+IQR'!$P190)</f>
        <v>0</v>
      </c>
      <c r="F190" s="20">
        <f>MEDIAN('converted2usd+IQR'!F190, 'converted2usd+IQR'!$O190, 'converted2usd+IQR'!$P190)</f>
        <v>0</v>
      </c>
      <c r="G190" s="20">
        <f>MEDIAN('converted2usd+IQR'!G190, 'converted2usd+IQR'!$O190, 'converted2usd+IQR'!$P190)</f>
        <v>0</v>
      </c>
      <c r="H190" s="20">
        <f>MEDIAN('converted2usd+IQR'!H190, 'converted2usd+IQR'!$O190, 'converted2usd+IQR'!$P190)</f>
        <v>0</v>
      </c>
      <c r="I190" s="20">
        <f>MEDIAN('converted2usd+IQR'!I190, 'converted2usd+IQR'!$O190, 'converted2usd+IQR'!$P190)</f>
        <v>0</v>
      </c>
      <c r="J190" s="20">
        <f>MEDIAN('converted2usd+IQR'!J190, 'converted2usd+IQR'!$O190, 'converted2usd+IQR'!$P190)</f>
        <v>0</v>
      </c>
      <c r="K190" s="20">
        <f>MEDIAN('converted2usd+IQR'!K190, 'converted2usd+IQR'!$O190, 'converted2usd+IQR'!$P190)</f>
        <v>0</v>
      </c>
    </row>
    <row r="191" spans="1:11">
      <c r="A191" s="6" t="s">
        <v>188</v>
      </c>
      <c r="B191" s="20">
        <f>MEDIAN('converted2usd+IQR'!B191, 'converted2usd+IQR'!$O191, 'converted2usd+IQR'!$P191)</f>
        <v>0</v>
      </c>
      <c r="C191" s="20">
        <f>MEDIAN('converted2usd+IQR'!C191, 'converted2usd+IQR'!$O191, 'converted2usd+IQR'!$P191)</f>
        <v>0</v>
      </c>
      <c r="D191" s="20">
        <f>MEDIAN('converted2usd+IQR'!D191, 'converted2usd+IQR'!$O191, 'converted2usd+IQR'!$P191)</f>
        <v>0</v>
      </c>
      <c r="E191" s="20">
        <f>MEDIAN('converted2usd+IQR'!E191, 'converted2usd+IQR'!$O191, 'converted2usd+IQR'!$P191)</f>
        <v>0</v>
      </c>
      <c r="F191" s="20">
        <f>MEDIAN('converted2usd+IQR'!F191, 'converted2usd+IQR'!$O191, 'converted2usd+IQR'!$P191)</f>
        <v>0</v>
      </c>
      <c r="G191" s="20">
        <f>MEDIAN('converted2usd+IQR'!G191, 'converted2usd+IQR'!$O191, 'converted2usd+IQR'!$P191)</f>
        <v>0</v>
      </c>
      <c r="H191" s="20">
        <f>MEDIAN('converted2usd+IQR'!H191, 'converted2usd+IQR'!$O191, 'converted2usd+IQR'!$P191)</f>
        <v>0</v>
      </c>
      <c r="I191" s="20">
        <f>MEDIAN('converted2usd+IQR'!I191, 'converted2usd+IQR'!$O191, 'converted2usd+IQR'!$P191)</f>
        <v>0</v>
      </c>
      <c r="J191" s="20">
        <f>MEDIAN('converted2usd+IQR'!J191, 'converted2usd+IQR'!$O191, 'converted2usd+IQR'!$P191)</f>
        <v>0</v>
      </c>
      <c r="K191" s="20">
        <f>MEDIAN('converted2usd+IQR'!K191, 'converted2usd+IQR'!$O191, 'converted2usd+IQR'!$P191)</f>
        <v>0</v>
      </c>
    </row>
    <row r="192" spans="1:11">
      <c r="A192" s="5" t="s">
        <v>189</v>
      </c>
      <c r="B192" s="20">
        <f>MEDIAN('converted2usd+IQR'!B192, 'converted2usd+IQR'!$O192, 'converted2usd+IQR'!$P192)</f>
        <v>0</v>
      </c>
      <c r="C192" s="20">
        <f>MEDIAN('converted2usd+IQR'!C192, 'converted2usd+IQR'!$O192, 'converted2usd+IQR'!$P192)</f>
        <v>0</v>
      </c>
      <c r="D192" s="20">
        <f>MEDIAN('converted2usd+IQR'!D192, 'converted2usd+IQR'!$O192, 'converted2usd+IQR'!$P192)</f>
        <v>0</v>
      </c>
      <c r="E192" s="20">
        <f>MEDIAN('converted2usd+IQR'!E192, 'converted2usd+IQR'!$O192, 'converted2usd+IQR'!$P192)</f>
        <v>0</v>
      </c>
      <c r="F192" s="20">
        <f>MEDIAN('converted2usd+IQR'!F192, 'converted2usd+IQR'!$O192, 'converted2usd+IQR'!$P192)</f>
        <v>0</v>
      </c>
      <c r="G192" s="20">
        <f>MEDIAN('converted2usd+IQR'!G192, 'converted2usd+IQR'!$O192, 'converted2usd+IQR'!$P192)</f>
        <v>0</v>
      </c>
      <c r="H192" s="20">
        <f>MEDIAN('converted2usd+IQR'!H192, 'converted2usd+IQR'!$O192, 'converted2usd+IQR'!$P192)</f>
        <v>0</v>
      </c>
      <c r="I192" s="20">
        <f>MEDIAN('converted2usd+IQR'!I192, 'converted2usd+IQR'!$O192, 'converted2usd+IQR'!$P192)</f>
        <v>0</v>
      </c>
      <c r="J192" s="20">
        <f>MEDIAN('converted2usd+IQR'!J192, 'converted2usd+IQR'!$O192, 'converted2usd+IQR'!$P192)</f>
        <v>0</v>
      </c>
      <c r="K192" s="20">
        <f>MEDIAN('converted2usd+IQR'!K192, 'converted2usd+IQR'!$O192, 'converted2usd+IQR'!$P192)</f>
        <v>0</v>
      </c>
    </row>
    <row r="193" spans="1:11">
      <c r="A193" s="7" t="s">
        <v>190</v>
      </c>
      <c r="B193" s="20">
        <f>MEDIAN('converted2usd+IQR'!B193, 'converted2usd+IQR'!$O193, 'converted2usd+IQR'!$P193)</f>
        <v>66537.700453445548</v>
      </c>
      <c r="C193" s="20">
        <f>MEDIAN('converted2usd+IQR'!C193, 'converted2usd+IQR'!$O193, 'converted2usd+IQR'!$P193)</f>
        <v>-14715.907494358653</v>
      </c>
      <c r="D193" s="20">
        <f>MEDIAN('converted2usd+IQR'!D193, 'converted2usd+IQR'!$O193, 'converted2usd+IQR'!$P193)</f>
        <v>2837.9391548207832</v>
      </c>
      <c r="E193" s="20">
        <f>MEDIAN('converted2usd+IQR'!E193, 'converted2usd+IQR'!$O193, 'converted2usd+IQR'!$P193)</f>
        <v>18576.958159754351</v>
      </c>
      <c r="F193" s="20">
        <f>MEDIAN('converted2usd+IQR'!F193, 'converted2usd+IQR'!$O193, 'converted2usd+IQR'!$P193)</f>
        <v>14040.123867262311</v>
      </c>
      <c r="G193" s="20">
        <f>MEDIAN('converted2usd+IQR'!G193, 'converted2usd+IQR'!$O193, 'converted2usd+IQR'!$P193)</f>
        <v>4666.5300687841573</v>
      </c>
      <c r="H193" s="20">
        <f>MEDIAN('converted2usd+IQR'!H193, 'converted2usd+IQR'!$O193, 'converted2usd+IQR'!$P193)</f>
        <v>20819.621134648358</v>
      </c>
      <c r="I193" s="20">
        <f>MEDIAN('converted2usd+IQR'!I193, 'converted2usd+IQR'!$O193, 'converted2usd+IQR'!$P193)</f>
        <v>28436.751720005464</v>
      </c>
      <c r="J193" s="20">
        <f>MEDIAN('converted2usd+IQR'!J193, 'converted2usd+IQR'!$O193, 'converted2usd+IQR'!$P193)</f>
        <v>22136.236322217563</v>
      </c>
      <c r="K193" s="20">
        <f>MEDIAN('converted2usd+IQR'!K193, 'converted2usd+IQR'!$O193, 'converted2usd+IQR'!$P193)</f>
        <v>21158.777042003952</v>
      </c>
    </row>
    <row r="194" spans="1:11">
      <c r="A194" s="5" t="s">
        <v>191</v>
      </c>
      <c r="B194" s="20">
        <f>MEDIAN('converted2usd+IQR'!B194, 'converted2usd+IQR'!$O194, 'converted2usd+IQR'!$P194)</f>
        <v>305.78478129974138</v>
      </c>
      <c r="C194" s="20">
        <f>MEDIAN('converted2usd+IQR'!C194, 'converted2usd+IQR'!$O194, 'converted2usd+IQR'!$P194)</f>
        <v>416.18895623035672</v>
      </c>
      <c r="D194" s="20">
        <f>MEDIAN('converted2usd+IQR'!D194, 'converted2usd+IQR'!$O194, 'converted2usd+IQR'!$P194)</f>
        <v>369.67155434655791</v>
      </c>
      <c r="E194" s="20">
        <f>MEDIAN('converted2usd+IQR'!E194, 'converted2usd+IQR'!$O194, 'converted2usd+IQR'!$P194)</f>
        <v>737.92944540270764</v>
      </c>
      <c r="F194" s="20">
        <f>MEDIAN('converted2usd+IQR'!F194, 'converted2usd+IQR'!$O194, 'converted2usd+IQR'!$P194)</f>
        <v>688.20735074492904</v>
      </c>
      <c r="G194" s="20">
        <f>MEDIAN('converted2usd+IQR'!G194, 'converted2usd+IQR'!$O194, 'converted2usd+IQR'!$P194)</f>
        <v>1074.5821679256924</v>
      </c>
      <c r="H194" s="20">
        <f>MEDIAN('converted2usd+IQR'!H194, 'converted2usd+IQR'!$O194, 'converted2usd+IQR'!$P194)</f>
        <v>358.96903283696594</v>
      </c>
      <c r="I194" s="20">
        <f>MEDIAN('converted2usd+IQR'!I194, 'converted2usd+IQR'!$O194, 'converted2usd+IQR'!$P194)</f>
        <v>725.88829191639127</v>
      </c>
      <c r="J194" s="20">
        <f>MEDIAN('converted2usd+IQR'!J194, 'converted2usd+IQR'!$O194, 'converted2usd+IQR'!$P194)</f>
        <v>2185.2927459720099</v>
      </c>
      <c r="K194" s="20">
        <f>MEDIAN('converted2usd+IQR'!K194, 'converted2usd+IQR'!$O194, 'converted2usd+IQR'!$P194)</f>
        <v>2817.7732347272618</v>
      </c>
    </row>
    <row r="195" spans="1:11">
      <c r="A195" s="6" t="s">
        <v>192</v>
      </c>
      <c r="B195" s="20">
        <f>MEDIAN('converted2usd+IQR'!B195, 'converted2usd+IQR'!$O195, 'converted2usd+IQR'!$P195)</f>
        <v>3673.2562849869682</v>
      </c>
      <c r="C195" s="20">
        <f>MEDIAN('converted2usd+IQR'!C195, 'converted2usd+IQR'!$O195, 'converted2usd+IQR'!$P195)</f>
        <v>3089.5493535392243</v>
      </c>
      <c r="D195" s="20">
        <f>MEDIAN('converted2usd+IQR'!D195, 'converted2usd+IQR'!$O195, 'converted2usd+IQR'!$P195)</f>
        <v>6445.5566460152477</v>
      </c>
      <c r="E195" s="20">
        <f>MEDIAN('converted2usd+IQR'!E195, 'converted2usd+IQR'!$O195, 'converted2usd+IQR'!$P195)</f>
        <v>4852.298386590166</v>
      </c>
      <c r="F195" s="20">
        <f>MEDIAN('converted2usd+IQR'!F195, 'converted2usd+IQR'!$O195, 'converted2usd+IQR'!$P195)</f>
        <v>8801.127341587995</v>
      </c>
      <c r="G195" s="20">
        <f>MEDIAN('converted2usd+IQR'!G195, 'converted2usd+IQR'!$O195, 'converted2usd+IQR'!$P195)</f>
        <v>12526.633732110637</v>
      </c>
      <c r="H195" s="20">
        <f>MEDIAN('converted2usd+IQR'!H195, 'converted2usd+IQR'!$O195, 'converted2usd+IQR'!$P195)</f>
        <v>8299.847513493205</v>
      </c>
      <c r="I195" s="20">
        <f>MEDIAN('converted2usd+IQR'!I195, 'converted2usd+IQR'!$O195, 'converted2usd+IQR'!$P195)</f>
        <v>9758.8361597051589</v>
      </c>
      <c r="J195" s="20">
        <f>MEDIAN('converted2usd+IQR'!J195, 'converted2usd+IQR'!$O195, 'converted2usd+IQR'!$P195)</f>
        <v>12209.954109594169</v>
      </c>
      <c r="K195" s="20">
        <f>MEDIAN('converted2usd+IQR'!K195, 'converted2usd+IQR'!$O195, 'converted2usd+IQR'!$P195)</f>
        <v>21576.137974467591</v>
      </c>
    </row>
    <row r="196" spans="1:11">
      <c r="A196" s="5" t="s">
        <v>193</v>
      </c>
      <c r="B196" s="20">
        <f>MEDIAN('converted2usd+IQR'!B196, 'converted2usd+IQR'!$O196, 'converted2usd+IQR'!$P196)</f>
        <v>0</v>
      </c>
      <c r="C196" s="20">
        <f>MEDIAN('converted2usd+IQR'!C196, 'converted2usd+IQR'!$O196, 'converted2usd+IQR'!$P196)</f>
        <v>0</v>
      </c>
      <c r="D196" s="20">
        <f>MEDIAN('converted2usd+IQR'!D196, 'converted2usd+IQR'!$O196, 'converted2usd+IQR'!$P196)</f>
        <v>0</v>
      </c>
      <c r="E196" s="20">
        <f>MEDIAN('converted2usd+IQR'!E196, 'converted2usd+IQR'!$O196, 'converted2usd+IQR'!$P196)</f>
        <v>0</v>
      </c>
      <c r="F196" s="20">
        <f>MEDIAN('converted2usd+IQR'!F196, 'converted2usd+IQR'!$O196, 'converted2usd+IQR'!$P196)</f>
        <v>0</v>
      </c>
      <c r="G196" s="20">
        <f>MEDIAN('converted2usd+IQR'!G196, 'converted2usd+IQR'!$O196, 'converted2usd+IQR'!$P196)</f>
        <v>0</v>
      </c>
      <c r="H196" s="20">
        <f>MEDIAN('converted2usd+IQR'!H196, 'converted2usd+IQR'!$O196, 'converted2usd+IQR'!$P196)</f>
        <v>0</v>
      </c>
      <c r="I196" s="20">
        <f>MEDIAN('converted2usd+IQR'!I196, 'converted2usd+IQR'!$O196, 'converted2usd+IQR'!$P196)</f>
        <v>0</v>
      </c>
      <c r="J196" s="20">
        <f>MEDIAN('converted2usd+IQR'!J196, 'converted2usd+IQR'!$O196, 'converted2usd+IQR'!$P196)</f>
        <v>0</v>
      </c>
      <c r="K196" s="20">
        <f>MEDIAN('converted2usd+IQR'!K196, 'converted2usd+IQR'!$O196, 'converted2usd+IQR'!$P196)</f>
        <v>0</v>
      </c>
    </row>
    <row r="197" spans="1:11">
      <c r="A197" s="6" t="s">
        <v>194</v>
      </c>
      <c r="B197" s="20">
        <f>MEDIAN('converted2usd+IQR'!B197, 'converted2usd+IQR'!$O197, 'converted2usd+IQR'!$P197)</f>
        <v>0</v>
      </c>
      <c r="C197" s="20">
        <f>MEDIAN('converted2usd+IQR'!C197, 'converted2usd+IQR'!$O197, 'converted2usd+IQR'!$P197)</f>
        <v>0</v>
      </c>
      <c r="D197" s="20">
        <f>MEDIAN('converted2usd+IQR'!D197, 'converted2usd+IQR'!$O197, 'converted2usd+IQR'!$P197)</f>
        <v>0</v>
      </c>
      <c r="E197" s="20">
        <f>MEDIAN('converted2usd+IQR'!E197, 'converted2usd+IQR'!$O197, 'converted2usd+IQR'!$P197)</f>
        <v>0</v>
      </c>
      <c r="F197" s="20">
        <f>MEDIAN('converted2usd+IQR'!F197, 'converted2usd+IQR'!$O197, 'converted2usd+IQR'!$P197)</f>
        <v>0</v>
      </c>
      <c r="G197" s="20">
        <f>MEDIAN('converted2usd+IQR'!G197, 'converted2usd+IQR'!$O197, 'converted2usd+IQR'!$P197)</f>
        <v>0</v>
      </c>
      <c r="H197" s="20">
        <f>MEDIAN('converted2usd+IQR'!H197, 'converted2usd+IQR'!$O197, 'converted2usd+IQR'!$P197)</f>
        <v>0</v>
      </c>
      <c r="I197" s="20">
        <f>MEDIAN('converted2usd+IQR'!I197, 'converted2usd+IQR'!$O197, 'converted2usd+IQR'!$P197)</f>
        <v>0</v>
      </c>
      <c r="J197" s="20">
        <f>MEDIAN('converted2usd+IQR'!J197, 'converted2usd+IQR'!$O197, 'converted2usd+IQR'!$P197)</f>
        <v>0</v>
      </c>
      <c r="K197" s="20">
        <f>MEDIAN('converted2usd+IQR'!K197, 'converted2usd+IQR'!$O197, 'converted2usd+IQR'!$P197)</f>
        <v>0</v>
      </c>
    </row>
    <row r="198" spans="1:11">
      <c r="A198" s="7" t="s">
        <v>195</v>
      </c>
      <c r="B198" s="20">
        <f>MEDIAN('converted2usd+IQR'!B198, 'converted2usd+IQR'!$O198, 'converted2usd+IQR'!$P198)</f>
        <v>-3367.4715036872267</v>
      </c>
      <c r="C198" s="20">
        <f>MEDIAN('converted2usd+IQR'!C198, 'converted2usd+IQR'!$O198, 'converted2usd+IQR'!$P198)</f>
        <v>-2673.360397308868</v>
      </c>
      <c r="D198" s="20">
        <f>MEDIAN('converted2usd+IQR'!D198, 'converted2usd+IQR'!$O198, 'converted2usd+IQR'!$P198)</f>
        <v>-6075.8850916686897</v>
      </c>
      <c r="E198" s="20">
        <f>MEDIAN('converted2usd+IQR'!E198, 'converted2usd+IQR'!$O198, 'converted2usd+IQR'!$P198)</f>
        <v>-4114.3689411874584</v>
      </c>
      <c r="F198" s="20">
        <f>MEDIAN('converted2usd+IQR'!F198, 'converted2usd+IQR'!$O198, 'converted2usd+IQR'!$P198)</f>
        <v>-8112.9199908430664</v>
      </c>
      <c r="G198" s="20">
        <f>MEDIAN('converted2usd+IQR'!G198, 'converted2usd+IQR'!$O198, 'converted2usd+IQR'!$P198)</f>
        <v>-11452.051564184945</v>
      </c>
      <c r="H198" s="20">
        <f>MEDIAN('converted2usd+IQR'!H198, 'converted2usd+IQR'!$O198, 'converted2usd+IQR'!$P198)</f>
        <v>-7940.8784806562389</v>
      </c>
      <c r="I198" s="20">
        <f>MEDIAN('converted2usd+IQR'!I198, 'converted2usd+IQR'!$O198, 'converted2usd+IQR'!$P198)</f>
        <v>-9032.9478677887691</v>
      </c>
      <c r="J198" s="20">
        <f>MEDIAN('converted2usd+IQR'!J198, 'converted2usd+IQR'!$O198, 'converted2usd+IQR'!$P198)</f>
        <v>-10024.661363622159</v>
      </c>
      <c r="K198" s="20">
        <f>MEDIAN('converted2usd+IQR'!K198, 'converted2usd+IQR'!$O198, 'converted2usd+IQR'!$P198)</f>
        <v>12192.039243407893</v>
      </c>
    </row>
    <row r="199" spans="1:11">
      <c r="A199" s="6" t="s">
        <v>196</v>
      </c>
      <c r="B199" s="20">
        <f>MEDIAN('converted2usd+IQR'!B199, 'converted2usd+IQR'!$O199, 'converted2usd+IQR'!$P199)</f>
        <v>191.60062238808609</v>
      </c>
      <c r="C199" s="20">
        <f>MEDIAN('converted2usd+IQR'!C199, 'converted2usd+IQR'!$O199, 'converted2usd+IQR'!$P199)</f>
        <v>295.24232506995924</v>
      </c>
      <c r="D199" s="20">
        <f>MEDIAN('converted2usd+IQR'!D199, 'converted2usd+IQR'!$O199, 'converted2usd+IQR'!$P199)</f>
        <v>1448.9827720262035</v>
      </c>
      <c r="E199" s="20">
        <f>MEDIAN('converted2usd+IQR'!E199, 'converted2usd+IQR'!$O199, 'converted2usd+IQR'!$P199)</f>
        <v>458.45669783161674</v>
      </c>
      <c r="F199" s="20">
        <f>MEDIAN('converted2usd+IQR'!F199, 'converted2usd+IQR'!$O199, 'converted2usd+IQR'!$P199)</f>
        <v>0</v>
      </c>
      <c r="G199" s="20">
        <f>MEDIAN('converted2usd+IQR'!G199, 'converted2usd+IQR'!$O199, 'converted2usd+IQR'!$P199)</f>
        <v>0</v>
      </c>
      <c r="H199" s="20">
        <f>MEDIAN('converted2usd+IQR'!H199, 'converted2usd+IQR'!$O199, 'converted2usd+IQR'!$P199)</f>
        <v>0</v>
      </c>
      <c r="I199" s="20">
        <f>MEDIAN('converted2usd+IQR'!I199, 'converted2usd+IQR'!$O199, 'converted2usd+IQR'!$P199)</f>
        <v>384.58014898541478</v>
      </c>
      <c r="J199" s="20">
        <f>MEDIAN('converted2usd+IQR'!J199, 'converted2usd+IQR'!$O199, 'converted2usd+IQR'!$P199)</f>
        <v>0</v>
      </c>
      <c r="K199" s="20">
        <f>MEDIAN('converted2usd+IQR'!K199, 'converted2usd+IQR'!$O199, 'converted2usd+IQR'!$P199)</f>
        <v>0</v>
      </c>
    </row>
    <row r="200" spans="1:11">
      <c r="A200" s="5" t="s">
        <v>197</v>
      </c>
      <c r="B200" s="20">
        <f>MEDIAN('converted2usd+IQR'!B200, 'converted2usd+IQR'!$O200, 'converted2usd+IQR'!$P200)</f>
        <v>0</v>
      </c>
      <c r="C200" s="20">
        <f>MEDIAN('converted2usd+IQR'!C200, 'converted2usd+IQR'!$O200, 'converted2usd+IQR'!$P200)</f>
        <v>0</v>
      </c>
      <c r="D200" s="20">
        <f>MEDIAN('converted2usd+IQR'!D200, 'converted2usd+IQR'!$O200, 'converted2usd+IQR'!$P200)</f>
        <v>3.8204594452103412E-2</v>
      </c>
      <c r="E200" s="20">
        <f>MEDIAN('converted2usd+IQR'!E200, 'converted2usd+IQR'!$O200, 'converted2usd+IQR'!$P200)</f>
        <v>2.7487108336638939</v>
      </c>
      <c r="F200" s="20">
        <f>MEDIAN('converted2usd+IQR'!F200, 'converted2usd+IQR'!$O200, 'converted2usd+IQR'!$P200)</f>
        <v>0</v>
      </c>
      <c r="G200" s="20">
        <f>MEDIAN('converted2usd+IQR'!G200, 'converted2usd+IQR'!$O200, 'converted2usd+IQR'!$P200)</f>
        <v>10.657683540921386</v>
      </c>
      <c r="H200" s="20">
        <f>MEDIAN('converted2usd+IQR'!H200, 'converted2usd+IQR'!$O200, 'converted2usd+IQR'!$P200)</f>
        <v>0</v>
      </c>
      <c r="I200" s="20">
        <f>MEDIAN('converted2usd+IQR'!I200, 'converted2usd+IQR'!$O200, 'converted2usd+IQR'!$P200)</f>
        <v>2.4115510399297042</v>
      </c>
      <c r="J200" s="20">
        <f>MEDIAN('converted2usd+IQR'!J200, 'converted2usd+IQR'!$O200, 'converted2usd+IQR'!$P200)</f>
        <v>10.657683540921386</v>
      </c>
      <c r="K200" s="20">
        <f>MEDIAN('converted2usd+IQR'!K200, 'converted2usd+IQR'!$O200, 'converted2usd+IQR'!$P200)</f>
        <v>-7.9932626556910398</v>
      </c>
    </row>
    <row r="201" spans="1:11">
      <c r="A201" s="6" t="s">
        <v>198</v>
      </c>
      <c r="B201" s="20">
        <f>MEDIAN('converted2usd+IQR'!B201, 'converted2usd+IQR'!$O201, 'converted2usd+IQR'!$P201)</f>
        <v>0</v>
      </c>
      <c r="C201" s="20">
        <f>MEDIAN('converted2usd+IQR'!C201, 'converted2usd+IQR'!$O201, 'converted2usd+IQR'!$P201)</f>
        <v>0</v>
      </c>
      <c r="D201" s="20">
        <f>MEDIAN('converted2usd+IQR'!D201, 'converted2usd+IQR'!$O201, 'converted2usd+IQR'!$P201)</f>
        <v>0</v>
      </c>
      <c r="E201" s="20">
        <f>MEDIAN('converted2usd+IQR'!E201, 'converted2usd+IQR'!$O201, 'converted2usd+IQR'!$P201)</f>
        <v>0</v>
      </c>
      <c r="F201" s="20">
        <f>MEDIAN('converted2usd+IQR'!F201, 'converted2usd+IQR'!$O201, 'converted2usd+IQR'!$P201)</f>
        <v>0</v>
      </c>
      <c r="G201" s="20">
        <f>MEDIAN('converted2usd+IQR'!G201, 'converted2usd+IQR'!$O201, 'converted2usd+IQR'!$P201)</f>
        <v>0</v>
      </c>
      <c r="H201" s="20">
        <f>MEDIAN('converted2usd+IQR'!H201, 'converted2usd+IQR'!$O201, 'converted2usd+IQR'!$P201)</f>
        <v>0</v>
      </c>
      <c r="I201" s="20">
        <f>MEDIAN('converted2usd+IQR'!I201, 'converted2usd+IQR'!$O201, 'converted2usd+IQR'!$P201)</f>
        <v>0</v>
      </c>
      <c r="J201" s="20">
        <f>MEDIAN('converted2usd+IQR'!J201, 'converted2usd+IQR'!$O201, 'converted2usd+IQR'!$P201)</f>
        <v>0</v>
      </c>
      <c r="K201" s="20">
        <f>MEDIAN('converted2usd+IQR'!K201, 'converted2usd+IQR'!$O201, 'converted2usd+IQR'!$P201)</f>
        <v>0</v>
      </c>
    </row>
    <row r="202" spans="1:11">
      <c r="A202" s="5" t="s">
        <v>199</v>
      </c>
      <c r="B202" s="20">
        <f>MEDIAN('converted2usd+IQR'!B202, 'converted2usd+IQR'!$O202, 'converted2usd+IQR'!$P202)</f>
        <v>0</v>
      </c>
      <c r="C202" s="20">
        <f>MEDIAN('converted2usd+IQR'!C202, 'converted2usd+IQR'!$O202, 'converted2usd+IQR'!$P202)</f>
        <v>0</v>
      </c>
      <c r="D202" s="20">
        <f>MEDIAN('converted2usd+IQR'!D202, 'converted2usd+IQR'!$O202, 'converted2usd+IQR'!$P202)</f>
        <v>-16157.428349368296</v>
      </c>
      <c r="E202" s="20">
        <f>MEDIAN('converted2usd+IQR'!E202, 'converted2usd+IQR'!$O202, 'converted2usd+IQR'!$P202)</f>
        <v>0</v>
      </c>
      <c r="F202" s="20">
        <f>MEDIAN('converted2usd+IQR'!F202, 'converted2usd+IQR'!$O202, 'converted2usd+IQR'!$P202)</f>
        <v>-18961.490315959541</v>
      </c>
      <c r="G202" s="20">
        <f>MEDIAN('converted2usd+IQR'!G202, 'converted2usd+IQR'!$O202, 'converted2usd+IQR'!$P202)</f>
        <v>-26180.548060219237</v>
      </c>
      <c r="H202" s="20">
        <f>MEDIAN('converted2usd+IQR'!H202, 'converted2usd+IQR'!$O202, 'converted2usd+IQR'!$P202)</f>
        <v>0</v>
      </c>
      <c r="I202" s="20">
        <f>MEDIAN('converted2usd+IQR'!I202, 'converted2usd+IQR'!$O202, 'converted2usd+IQR'!$P202)</f>
        <v>0</v>
      </c>
      <c r="J202" s="20">
        <f>MEDIAN('converted2usd+IQR'!J202, 'converted2usd+IQR'!$O202, 'converted2usd+IQR'!$P202)</f>
        <v>0</v>
      </c>
      <c r="K202" s="20">
        <f>MEDIAN('converted2usd+IQR'!K202, 'converted2usd+IQR'!$O202, 'converted2usd+IQR'!$P202)</f>
        <v>0</v>
      </c>
    </row>
    <row r="203" spans="1:11">
      <c r="A203" s="6" t="s">
        <v>200</v>
      </c>
      <c r="B203" s="20">
        <f>MEDIAN('converted2usd+IQR'!B203, 'converted2usd+IQR'!$O203, 'converted2usd+IQR'!$P203)</f>
        <v>0</v>
      </c>
      <c r="C203" s="20">
        <f>MEDIAN('converted2usd+IQR'!C203, 'converted2usd+IQR'!$O203, 'converted2usd+IQR'!$P203)</f>
        <v>0</v>
      </c>
      <c r="D203" s="20">
        <f>MEDIAN('converted2usd+IQR'!D203, 'converted2usd+IQR'!$O203, 'converted2usd+IQR'!$P203)</f>
        <v>0</v>
      </c>
      <c r="E203" s="20">
        <f>MEDIAN('converted2usd+IQR'!E203, 'converted2usd+IQR'!$O203, 'converted2usd+IQR'!$P203)</f>
        <v>0</v>
      </c>
      <c r="F203" s="20">
        <f>MEDIAN('converted2usd+IQR'!F203, 'converted2usd+IQR'!$O203, 'converted2usd+IQR'!$P203)</f>
        <v>0</v>
      </c>
      <c r="G203" s="20">
        <f>MEDIAN('converted2usd+IQR'!G203, 'converted2usd+IQR'!$O203, 'converted2usd+IQR'!$P203)</f>
        <v>0</v>
      </c>
      <c r="H203" s="20">
        <f>MEDIAN('converted2usd+IQR'!H203, 'converted2usd+IQR'!$O203, 'converted2usd+IQR'!$P203)</f>
        <v>0</v>
      </c>
      <c r="I203" s="20">
        <f>MEDIAN('converted2usd+IQR'!I203, 'converted2usd+IQR'!$O203, 'converted2usd+IQR'!$P203)</f>
        <v>0</v>
      </c>
      <c r="J203" s="20">
        <f>MEDIAN('converted2usd+IQR'!J203, 'converted2usd+IQR'!$O203, 'converted2usd+IQR'!$P203)</f>
        <v>0</v>
      </c>
      <c r="K203" s="20">
        <f>MEDIAN('converted2usd+IQR'!K203, 'converted2usd+IQR'!$O203, 'converted2usd+IQR'!$P203)</f>
        <v>0</v>
      </c>
    </row>
    <row r="204" spans="1:11">
      <c r="A204" s="7" t="s">
        <v>201</v>
      </c>
      <c r="B204" s="20">
        <f>MEDIAN('converted2usd+IQR'!B204, 'converted2usd+IQR'!$O204, 'converted2usd+IQR'!$P204)</f>
        <v>191.60062238808609</v>
      </c>
      <c r="C204" s="20">
        <f>MEDIAN('converted2usd+IQR'!C204, 'converted2usd+IQR'!$O204, 'converted2usd+IQR'!$P204)</f>
        <v>295.24232506995924</v>
      </c>
      <c r="D204" s="20">
        <f>MEDIAN('converted2usd+IQR'!D204, 'converted2usd+IQR'!$O204, 'converted2usd+IQR'!$P204)</f>
        <v>-14706.487244095902</v>
      </c>
      <c r="E204" s="20">
        <f>MEDIAN('converted2usd+IQR'!E204, 'converted2usd+IQR'!$O204, 'converted2usd+IQR'!$P204)</f>
        <v>461.20540866528069</v>
      </c>
      <c r="F204" s="20">
        <f>MEDIAN('converted2usd+IQR'!F204, 'converted2usd+IQR'!$O204, 'converted2usd+IQR'!$P204)</f>
        <v>-18961.490315959541</v>
      </c>
      <c r="G204" s="20">
        <f>MEDIAN('converted2usd+IQR'!G204, 'converted2usd+IQR'!$O204, 'converted2usd+IQR'!$P204)</f>
        <v>-26150.816670373839</v>
      </c>
      <c r="H204" s="20">
        <f>MEDIAN('converted2usd+IQR'!H204, 'converted2usd+IQR'!$O204, 'converted2usd+IQR'!$P204)</f>
        <v>0</v>
      </c>
      <c r="I204" s="20">
        <f>MEDIAN('converted2usd+IQR'!I204, 'converted2usd+IQR'!$O204, 'converted2usd+IQR'!$P204)</f>
        <v>386.99170002534447</v>
      </c>
      <c r="J204" s="20">
        <f>MEDIAN('converted2usd+IQR'!J204, 'converted2usd+IQR'!$O204, 'converted2usd+IQR'!$P204)</f>
        <v>586.08116870651179</v>
      </c>
      <c r="K204" s="20">
        <f>MEDIAN('converted2usd+IQR'!K204, 'converted2usd+IQR'!$O204, 'converted2usd+IQR'!$P204)</f>
        <v>-4549.7649996919745</v>
      </c>
    </row>
    <row r="205" spans="1:11">
      <c r="A205" s="6" t="s">
        <v>202</v>
      </c>
      <c r="B205" s="20">
        <f>MEDIAN('converted2usd+IQR'!B205, 'converted2usd+IQR'!$O205, 'converted2usd+IQR'!$P205)</f>
        <v>0</v>
      </c>
      <c r="C205" s="20">
        <f>MEDIAN('converted2usd+IQR'!C205, 'converted2usd+IQR'!$O205, 'converted2usd+IQR'!$P205)</f>
        <v>0</v>
      </c>
      <c r="D205" s="20">
        <f>MEDIAN('converted2usd+IQR'!D205, 'converted2usd+IQR'!$O205, 'converted2usd+IQR'!$P205)</f>
        <v>0</v>
      </c>
      <c r="E205" s="20">
        <f>MEDIAN('converted2usd+IQR'!E205, 'converted2usd+IQR'!$O205, 'converted2usd+IQR'!$P205)</f>
        <v>0</v>
      </c>
      <c r="F205" s="20">
        <f>MEDIAN('converted2usd+IQR'!F205, 'converted2usd+IQR'!$O205, 'converted2usd+IQR'!$P205)</f>
        <v>0</v>
      </c>
      <c r="G205" s="20">
        <f>MEDIAN('converted2usd+IQR'!G205, 'converted2usd+IQR'!$O205, 'converted2usd+IQR'!$P205)</f>
        <v>0</v>
      </c>
      <c r="H205" s="20">
        <f>MEDIAN('converted2usd+IQR'!H205, 'converted2usd+IQR'!$O205, 'converted2usd+IQR'!$P205)</f>
        <v>0</v>
      </c>
      <c r="I205" s="20">
        <f>MEDIAN('converted2usd+IQR'!I205, 'converted2usd+IQR'!$O205, 'converted2usd+IQR'!$P205)</f>
        <v>0</v>
      </c>
      <c r="J205" s="20">
        <f>MEDIAN('converted2usd+IQR'!J205, 'converted2usd+IQR'!$O205, 'converted2usd+IQR'!$P205)</f>
        <v>0</v>
      </c>
      <c r="K205" s="20">
        <f>MEDIAN('converted2usd+IQR'!K205, 'converted2usd+IQR'!$O205, 'converted2usd+IQR'!$P205)</f>
        <v>0</v>
      </c>
    </row>
    <row r="206" spans="1:11">
      <c r="A206" s="5" t="s">
        <v>203</v>
      </c>
      <c r="B206" s="20">
        <f>MEDIAN('converted2usd+IQR'!B206, 'converted2usd+IQR'!$O206, 'converted2usd+IQR'!$P206)</f>
        <v>0</v>
      </c>
      <c r="C206" s="20">
        <f>MEDIAN('converted2usd+IQR'!C206, 'converted2usd+IQR'!$O206, 'converted2usd+IQR'!$P206)</f>
        <v>0</v>
      </c>
      <c r="D206" s="20">
        <f>MEDIAN('converted2usd+IQR'!D206, 'converted2usd+IQR'!$O206, 'converted2usd+IQR'!$P206)</f>
        <v>0</v>
      </c>
      <c r="E206" s="20">
        <f>MEDIAN('converted2usd+IQR'!E206, 'converted2usd+IQR'!$O206, 'converted2usd+IQR'!$P206)</f>
        <v>0</v>
      </c>
      <c r="F206" s="20">
        <f>MEDIAN('converted2usd+IQR'!F206, 'converted2usd+IQR'!$O206, 'converted2usd+IQR'!$P206)</f>
        <v>0</v>
      </c>
      <c r="G206" s="20">
        <f>MEDIAN('converted2usd+IQR'!G206, 'converted2usd+IQR'!$O206, 'converted2usd+IQR'!$P206)</f>
        <v>0</v>
      </c>
      <c r="H206" s="20">
        <f>MEDIAN('converted2usd+IQR'!H206, 'converted2usd+IQR'!$O206, 'converted2usd+IQR'!$P206)</f>
        <v>0</v>
      </c>
      <c r="I206" s="20">
        <f>MEDIAN('converted2usd+IQR'!I206, 'converted2usd+IQR'!$O206, 'converted2usd+IQR'!$P206)</f>
        <v>0</v>
      </c>
      <c r="J206" s="20">
        <f>MEDIAN('converted2usd+IQR'!J206, 'converted2usd+IQR'!$O206, 'converted2usd+IQR'!$P206)</f>
        <v>0</v>
      </c>
      <c r="K206" s="20">
        <f>MEDIAN('converted2usd+IQR'!K206, 'converted2usd+IQR'!$O206, 'converted2usd+IQR'!$P206)</f>
        <v>0</v>
      </c>
    </row>
    <row r="207" spans="1:11">
      <c r="A207" s="6" t="s">
        <v>204</v>
      </c>
      <c r="B207" s="20">
        <f>MEDIAN('converted2usd+IQR'!B207, 'converted2usd+IQR'!$O207, 'converted2usd+IQR'!$P207)</f>
        <v>0</v>
      </c>
      <c r="C207" s="20">
        <f>MEDIAN('converted2usd+IQR'!C207, 'converted2usd+IQR'!$O207, 'converted2usd+IQR'!$P207)</f>
        <v>0</v>
      </c>
      <c r="D207" s="20">
        <f>MEDIAN('converted2usd+IQR'!D207, 'converted2usd+IQR'!$O207, 'converted2usd+IQR'!$P207)</f>
        <v>0</v>
      </c>
      <c r="E207" s="20">
        <f>MEDIAN('converted2usd+IQR'!E207, 'converted2usd+IQR'!$O207, 'converted2usd+IQR'!$P207)</f>
        <v>0</v>
      </c>
      <c r="F207" s="20">
        <f>MEDIAN('converted2usd+IQR'!F207, 'converted2usd+IQR'!$O207, 'converted2usd+IQR'!$P207)</f>
        <v>0</v>
      </c>
      <c r="G207" s="20">
        <f>MEDIAN('converted2usd+IQR'!G207, 'converted2usd+IQR'!$O207, 'converted2usd+IQR'!$P207)</f>
        <v>0</v>
      </c>
      <c r="H207" s="20">
        <f>MEDIAN('converted2usd+IQR'!H207, 'converted2usd+IQR'!$O207, 'converted2usd+IQR'!$P207)</f>
        <v>0</v>
      </c>
      <c r="I207" s="20">
        <f>MEDIAN('converted2usd+IQR'!I207, 'converted2usd+IQR'!$O207, 'converted2usd+IQR'!$P207)</f>
        <v>0</v>
      </c>
      <c r="J207" s="20">
        <f>MEDIAN('converted2usd+IQR'!J207, 'converted2usd+IQR'!$O207, 'converted2usd+IQR'!$P207)</f>
        <v>0</v>
      </c>
      <c r="K207" s="20">
        <f>MEDIAN('converted2usd+IQR'!K207, 'converted2usd+IQR'!$O207, 'converted2usd+IQR'!$P207)</f>
        <v>0</v>
      </c>
    </row>
    <row r="208" spans="1:11">
      <c r="A208" s="5" t="s">
        <v>205</v>
      </c>
      <c r="B208" s="20">
        <f>MEDIAN('converted2usd+IQR'!B208, 'converted2usd+IQR'!$O208, 'converted2usd+IQR'!$P208)</f>
        <v>0</v>
      </c>
      <c r="C208" s="20">
        <f>MEDIAN('converted2usd+IQR'!C208, 'converted2usd+IQR'!$O208, 'converted2usd+IQR'!$P208)</f>
        <v>-4537.431640879422</v>
      </c>
      <c r="D208" s="20">
        <f>MEDIAN('converted2usd+IQR'!D208, 'converted2usd+IQR'!$O208, 'converted2usd+IQR'!$P208)</f>
        <v>8956.4928009028627</v>
      </c>
      <c r="E208" s="20">
        <f>MEDIAN('converted2usd+IQR'!E208, 'converted2usd+IQR'!$O208, 'converted2usd+IQR'!$P208)</f>
        <v>-19806.809032869511</v>
      </c>
      <c r="F208" s="20">
        <f>MEDIAN('converted2usd+IQR'!F208, 'converted2usd+IQR'!$O208, 'converted2usd+IQR'!$P208)</f>
        <v>11022.595824268526</v>
      </c>
      <c r="G208" s="20">
        <f>MEDIAN('converted2usd+IQR'!G208, 'converted2usd+IQR'!$O208, 'converted2usd+IQR'!$P208)</f>
        <v>4481.5316314205375</v>
      </c>
      <c r="H208" s="20">
        <f>MEDIAN('converted2usd+IQR'!H208, 'converted2usd+IQR'!$O208, 'converted2usd+IQR'!$P208)</f>
        <v>-18780.758373468572</v>
      </c>
      <c r="I208" s="20">
        <f>MEDIAN('converted2usd+IQR'!I208, 'converted2usd+IQR'!$O208, 'converted2usd+IQR'!$P208)</f>
        <v>-9779.8586240983877</v>
      </c>
      <c r="J208" s="20">
        <f>MEDIAN('converted2usd+IQR'!J208, 'converted2usd+IQR'!$O208, 'converted2usd+IQR'!$P208)</f>
        <v>-11863.450446926472</v>
      </c>
      <c r="K208" s="20">
        <f>MEDIAN('converted2usd+IQR'!K208, 'converted2usd+IQR'!$O208, 'converted2usd+IQR'!$P208)</f>
        <v>-21012.601419927658</v>
      </c>
    </row>
    <row r="209" spans="1:11">
      <c r="A209" s="6" t="s">
        <v>206</v>
      </c>
      <c r="B209" s="20">
        <f>MEDIAN('converted2usd+IQR'!B209, 'converted2usd+IQR'!$O209, 'converted2usd+IQR'!$P209)</f>
        <v>0</v>
      </c>
      <c r="C209" s="20">
        <f>MEDIAN('converted2usd+IQR'!C209, 'converted2usd+IQR'!$O209, 'converted2usd+IQR'!$P209)</f>
        <v>0</v>
      </c>
      <c r="D209" s="20">
        <f>MEDIAN('converted2usd+IQR'!D209, 'converted2usd+IQR'!$O209, 'converted2usd+IQR'!$P209)</f>
        <v>0</v>
      </c>
      <c r="E209" s="20">
        <f>MEDIAN('converted2usd+IQR'!E209, 'converted2usd+IQR'!$O209, 'converted2usd+IQR'!$P209)</f>
        <v>0</v>
      </c>
      <c r="F209" s="20">
        <f>MEDIAN('converted2usd+IQR'!F209, 'converted2usd+IQR'!$O209, 'converted2usd+IQR'!$P209)</f>
        <v>0</v>
      </c>
      <c r="G209" s="20">
        <f>MEDIAN('converted2usd+IQR'!G209, 'converted2usd+IQR'!$O209, 'converted2usd+IQR'!$P209)</f>
        <v>0</v>
      </c>
      <c r="H209" s="20">
        <f>MEDIAN('converted2usd+IQR'!H209, 'converted2usd+IQR'!$O209, 'converted2usd+IQR'!$P209)</f>
        <v>0</v>
      </c>
      <c r="I209" s="20">
        <f>MEDIAN('converted2usd+IQR'!I209, 'converted2usd+IQR'!$O209, 'converted2usd+IQR'!$P209)</f>
        <v>0</v>
      </c>
      <c r="J209" s="20">
        <f>MEDIAN('converted2usd+IQR'!J209, 'converted2usd+IQR'!$O209, 'converted2usd+IQR'!$P209)</f>
        <v>0</v>
      </c>
      <c r="K209" s="20">
        <f>MEDIAN('converted2usd+IQR'!K209, 'converted2usd+IQR'!$O209, 'converted2usd+IQR'!$P209)</f>
        <v>0</v>
      </c>
    </row>
    <row r="210" spans="1:11">
      <c r="A210" s="5" t="s">
        <v>207</v>
      </c>
      <c r="B210" s="20">
        <f>MEDIAN('converted2usd+IQR'!B210, 'converted2usd+IQR'!$O210, 'converted2usd+IQR'!$P210)</f>
        <v>0</v>
      </c>
      <c r="C210" s="20">
        <f>MEDIAN('converted2usd+IQR'!C210, 'converted2usd+IQR'!$O210, 'converted2usd+IQR'!$P210)</f>
        <v>0</v>
      </c>
      <c r="D210" s="20">
        <f>MEDIAN('converted2usd+IQR'!D210, 'converted2usd+IQR'!$O210, 'converted2usd+IQR'!$P210)</f>
        <v>0</v>
      </c>
      <c r="E210" s="20">
        <f>MEDIAN('converted2usd+IQR'!E210, 'converted2usd+IQR'!$O210, 'converted2usd+IQR'!$P210)</f>
        <v>0</v>
      </c>
      <c r="F210" s="20">
        <f>MEDIAN('converted2usd+IQR'!F210, 'converted2usd+IQR'!$O210, 'converted2usd+IQR'!$P210)</f>
        <v>0</v>
      </c>
      <c r="G210" s="20">
        <f>MEDIAN('converted2usd+IQR'!G210, 'converted2usd+IQR'!$O210, 'converted2usd+IQR'!$P210)</f>
        <v>0</v>
      </c>
      <c r="H210" s="20">
        <f>MEDIAN('converted2usd+IQR'!H210, 'converted2usd+IQR'!$O210, 'converted2usd+IQR'!$P210)</f>
        <v>0</v>
      </c>
      <c r="I210" s="20">
        <f>MEDIAN('converted2usd+IQR'!I210, 'converted2usd+IQR'!$O210, 'converted2usd+IQR'!$P210)</f>
        <v>0</v>
      </c>
      <c r="J210" s="20">
        <f>MEDIAN('converted2usd+IQR'!J210, 'converted2usd+IQR'!$O210, 'converted2usd+IQR'!$P210)</f>
        <v>0</v>
      </c>
      <c r="K210" s="20">
        <f>MEDIAN('converted2usd+IQR'!K210, 'converted2usd+IQR'!$O210, 'converted2usd+IQR'!$P210)</f>
        <v>0</v>
      </c>
    </row>
    <row r="211" spans="1:11">
      <c r="A211" s="6" t="s">
        <v>208</v>
      </c>
      <c r="B211" s="20">
        <f>MEDIAN('converted2usd+IQR'!B211, 'converted2usd+IQR'!$O211, 'converted2usd+IQR'!$P211)</f>
        <v>99.754398149527987</v>
      </c>
      <c r="C211" s="20">
        <f>MEDIAN('converted2usd+IQR'!C211, 'converted2usd+IQR'!$O211, 'converted2usd+IQR'!$P211)</f>
        <v>956.39396845083184</v>
      </c>
      <c r="D211" s="20">
        <f>MEDIAN('converted2usd+IQR'!D211, 'converted2usd+IQR'!$O211, 'converted2usd+IQR'!$P211)</f>
        <v>6998.7726882321231</v>
      </c>
      <c r="E211" s="20">
        <f>MEDIAN('converted2usd+IQR'!E211, 'converted2usd+IQR'!$O211, 'converted2usd+IQR'!$P211)</f>
        <v>4357.9799171846444</v>
      </c>
      <c r="F211" s="20">
        <f>MEDIAN('converted2usd+IQR'!F211, 'converted2usd+IQR'!$O211, 'converted2usd+IQR'!$P211)</f>
        <v>4620.3038905906451</v>
      </c>
      <c r="G211" s="20">
        <f>MEDIAN('converted2usd+IQR'!G211, 'converted2usd+IQR'!$O211, 'converted2usd+IQR'!$P211)</f>
        <v>8968.9800630122609</v>
      </c>
      <c r="H211" s="20">
        <f>MEDIAN('converted2usd+IQR'!H211, 'converted2usd+IQR'!$O211, 'converted2usd+IQR'!$P211)</f>
        <v>4698.683625609553</v>
      </c>
      <c r="I211" s="20">
        <f>MEDIAN('converted2usd+IQR'!I211, 'converted2usd+IQR'!$O211, 'converted2usd+IQR'!$P211)</f>
        <v>-1029.8143889478808</v>
      </c>
      <c r="J211" s="20">
        <f>MEDIAN('converted2usd+IQR'!J211, 'converted2usd+IQR'!$O211, 'converted2usd+IQR'!$P211)</f>
        <v>-3089.2518825255388</v>
      </c>
      <c r="K211" s="20">
        <f>MEDIAN('converted2usd+IQR'!K211, 'converted2usd+IQR'!$O211, 'converted2usd+IQR'!$P211)</f>
        <v>22688.648437960706</v>
      </c>
    </row>
    <row r="212" spans="1:11">
      <c r="A212" s="5" t="s">
        <v>209</v>
      </c>
      <c r="B212" s="20">
        <f>MEDIAN('converted2usd+IQR'!B212, 'converted2usd+IQR'!$O212, 'converted2usd+IQR'!$P212)</f>
        <v>0</v>
      </c>
      <c r="C212" s="20">
        <f>MEDIAN('converted2usd+IQR'!C212, 'converted2usd+IQR'!$O212, 'converted2usd+IQR'!$P212)</f>
        <v>0</v>
      </c>
      <c r="D212" s="20">
        <f>MEDIAN('converted2usd+IQR'!D212, 'converted2usd+IQR'!$O212, 'converted2usd+IQR'!$P212)</f>
        <v>0</v>
      </c>
      <c r="E212" s="20">
        <f>MEDIAN('converted2usd+IQR'!E212, 'converted2usd+IQR'!$O212, 'converted2usd+IQR'!$P212)</f>
        <v>0</v>
      </c>
      <c r="F212" s="20">
        <f>MEDIAN('converted2usd+IQR'!F212, 'converted2usd+IQR'!$O212, 'converted2usd+IQR'!$P212)</f>
        <v>0</v>
      </c>
      <c r="G212" s="20">
        <f>MEDIAN('converted2usd+IQR'!G212, 'converted2usd+IQR'!$O212, 'converted2usd+IQR'!$P212)</f>
        <v>0</v>
      </c>
      <c r="H212" s="20">
        <f>MEDIAN('converted2usd+IQR'!H212, 'converted2usd+IQR'!$O212, 'converted2usd+IQR'!$P212)</f>
        <v>0</v>
      </c>
      <c r="I212" s="20">
        <f>MEDIAN('converted2usd+IQR'!I212, 'converted2usd+IQR'!$O212, 'converted2usd+IQR'!$P212)</f>
        <v>0</v>
      </c>
      <c r="J212" s="20">
        <f>MEDIAN('converted2usd+IQR'!J212, 'converted2usd+IQR'!$O212, 'converted2usd+IQR'!$P212)</f>
        <v>0</v>
      </c>
      <c r="K212" s="20">
        <f>MEDIAN('converted2usd+IQR'!K212, 'converted2usd+IQR'!$O212, 'converted2usd+IQR'!$P212)</f>
        <v>0</v>
      </c>
    </row>
    <row r="213" spans="1:11">
      <c r="A213" s="6" t="s">
        <v>210</v>
      </c>
      <c r="B213" s="20">
        <f>MEDIAN('converted2usd+IQR'!B213, 'converted2usd+IQR'!$O213, 'converted2usd+IQR'!$P213)</f>
        <v>0</v>
      </c>
      <c r="C213" s="20">
        <f>MEDIAN('converted2usd+IQR'!C213, 'converted2usd+IQR'!$O213, 'converted2usd+IQR'!$P213)</f>
        <v>0</v>
      </c>
      <c r="D213" s="20">
        <f>MEDIAN('converted2usd+IQR'!D213, 'converted2usd+IQR'!$O213, 'converted2usd+IQR'!$P213)</f>
        <v>0</v>
      </c>
      <c r="E213" s="20">
        <f>MEDIAN('converted2usd+IQR'!E213, 'converted2usd+IQR'!$O213, 'converted2usd+IQR'!$P213)</f>
        <v>0</v>
      </c>
      <c r="F213" s="20">
        <f>MEDIAN('converted2usd+IQR'!F213, 'converted2usd+IQR'!$O213, 'converted2usd+IQR'!$P213)</f>
        <v>0</v>
      </c>
      <c r="G213" s="20">
        <f>MEDIAN('converted2usd+IQR'!G213, 'converted2usd+IQR'!$O213, 'converted2usd+IQR'!$P213)</f>
        <v>0</v>
      </c>
      <c r="H213" s="20">
        <f>MEDIAN('converted2usd+IQR'!H213, 'converted2usd+IQR'!$O213, 'converted2usd+IQR'!$P213)</f>
        <v>0</v>
      </c>
      <c r="I213" s="20">
        <f>MEDIAN('converted2usd+IQR'!I213, 'converted2usd+IQR'!$O213, 'converted2usd+IQR'!$P213)</f>
        <v>0</v>
      </c>
      <c r="J213" s="20">
        <f>MEDIAN('converted2usd+IQR'!J213, 'converted2usd+IQR'!$O213, 'converted2usd+IQR'!$P213)</f>
        <v>0</v>
      </c>
      <c r="K213" s="20">
        <f>MEDIAN('converted2usd+IQR'!K213, 'converted2usd+IQR'!$O213, 'converted2usd+IQR'!$P213)</f>
        <v>0</v>
      </c>
    </row>
    <row r="214" spans="1:11">
      <c r="A214" s="7" t="s">
        <v>211</v>
      </c>
      <c r="B214" s="20">
        <f>MEDIAN('converted2usd+IQR'!B214, 'converted2usd+IQR'!$O214, 'converted2usd+IQR'!$P214)</f>
        <v>99.754398149527987</v>
      </c>
      <c r="C214" s="20">
        <f>MEDIAN('converted2usd+IQR'!C214, 'converted2usd+IQR'!$O214, 'converted2usd+IQR'!$P214)</f>
        <v>-3581.0376724285902</v>
      </c>
      <c r="D214" s="20">
        <f>MEDIAN('converted2usd+IQR'!D214, 'converted2usd+IQR'!$O214, 'converted2usd+IQR'!$P214)</f>
        <v>15955.265489134985</v>
      </c>
      <c r="E214" s="20">
        <f>MEDIAN('converted2usd+IQR'!E214, 'converted2usd+IQR'!$O214, 'converted2usd+IQR'!$P214)</f>
        <v>-15448.829115684868</v>
      </c>
      <c r="F214" s="20">
        <f>MEDIAN('converted2usd+IQR'!F214, 'converted2usd+IQR'!$O214, 'converted2usd+IQR'!$P214)</f>
        <v>15642.899714859172</v>
      </c>
      <c r="G214" s="20">
        <f>MEDIAN('converted2usd+IQR'!G214, 'converted2usd+IQR'!$O214, 'converted2usd+IQR'!$P214)</f>
        <v>13450.511694432798</v>
      </c>
      <c r="H214" s="20">
        <f>MEDIAN('converted2usd+IQR'!H214, 'converted2usd+IQR'!$O214, 'converted2usd+IQR'!$P214)</f>
        <v>-14082.074747859018</v>
      </c>
      <c r="I214" s="20">
        <f>MEDIAN('converted2usd+IQR'!I214, 'converted2usd+IQR'!$O214, 'converted2usd+IQR'!$P214)</f>
        <v>-10809.673013046267</v>
      </c>
      <c r="J214" s="20">
        <f>MEDIAN('converted2usd+IQR'!J214, 'converted2usd+IQR'!$O214, 'converted2usd+IQR'!$P214)</f>
        <v>-14952.702329452013</v>
      </c>
      <c r="K214" s="20">
        <f>MEDIAN('converted2usd+IQR'!K214, 'converted2usd+IQR'!$O214, 'converted2usd+IQR'!$P214)</f>
        <v>1676.047018033046</v>
      </c>
    </row>
    <row r="215" spans="1:11">
      <c r="A215" s="6" t="s">
        <v>212</v>
      </c>
      <c r="B215" s="20">
        <f>MEDIAN('converted2usd+IQR'!B215, 'converted2usd+IQR'!$O215, 'converted2usd+IQR'!$P215)</f>
        <v>0</v>
      </c>
      <c r="C215" s="20">
        <f>MEDIAN('converted2usd+IQR'!C215, 'converted2usd+IQR'!$O215, 'converted2usd+IQR'!$P215)</f>
        <v>0</v>
      </c>
      <c r="D215" s="20">
        <f>MEDIAN('converted2usd+IQR'!D215, 'converted2usd+IQR'!$O215, 'converted2usd+IQR'!$P215)</f>
        <v>0</v>
      </c>
      <c r="E215" s="20">
        <f>MEDIAN('converted2usd+IQR'!E215, 'converted2usd+IQR'!$O215, 'converted2usd+IQR'!$P215)</f>
        <v>0</v>
      </c>
      <c r="F215" s="20">
        <f>MEDIAN('converted2usd+IQR'!F215, 'converted2usd+IQR'!$O215, 'converted2usd+IQR'!$P215)</f>
        <v>0</v>
      </c>
      <c r="G215" s="20">
        <f>MEDIAN('converted2usd+IQR'!G215, 'converted2usd+IQR'!$O215, 'converted2usd+IQR'!$P215)</f>
        <v>0</v>
      </c>
      <c r="H215" s="20">
        <f>MEDIAN('converted2usd+IQR'!H215, 'converted2usd+IQR'!$O215, 'converted2usd+IQR'!$P215)</f>
        <v>0</v>
      </c>
      <c r="I215" s="20">
        <f>MEDIAN('converted2usd+IQR'!I215, 'converted2usd+IQR'!$O215, 'converted2usd+IQR'!$P215)</f>
        <v>0</v>
      </c>
      <c r="J215" s="20">
        <f>MEDIAN('converted2usd+IQR'!J215, 'converted2usd+IQR'!$O215, 'converted2usd+IQR'!$P215)</f>
        <v>0</v>
      </c>
      <c r="K215" s="20">
        <f>MEDIAN('converted2usd+IQR'!K215, 'converted2usd+IQR'!$O215, 'converted2usd+IQR'!$P215)</f>
        <v>0</v>
      </c>
    </row>
    <row r="216" spans="1:11">
      <c r="A216" s="5" t="s">
        <v>213</v>
      </c>
      <c r="B216" s="20">
        <f>MEDIAN('converted2usd+IQR'!B216, 'converted2usd+IQR'!$O216, 'converted2usd+IQR'!$P216)</f>
        <v>0</v>
      </c>
      <c r="C216" s="20">
        <f>MEDIAN('converted2usd+IQR'!C216, 'converted2usd+IQR'!$O216, 'converted2usd+IQR'!$P216)</f>
        <v>0</v>
      </c>
      <c r="D216" s="20">
        <f>MEDIAN('converted2usd+IQR'!D216, 'converted2usd+IQR'!$O216, 'converted2usd+IQR'!$P216)</f>
        <v>0</v>
      </c>
      <c r="E216" s="20">
        <f>MEDIAN('converted2usd+IQR'!E216, 'converted2usd+IQR'!$O216, 'converted2usd+IQR'!$P216)</f>
        <v>0</v>
      </c>
      <c r="F216" s="20">
        <f>MEDIAN('converted2usd+IQR'!F216, 'converted2usd+IQR'!$O216, 'converted2usd+IQR'!$P216)</f>
        <v>0</v>
      </c>
      <c r="G216" s="20">
        <f>MEDIAN('converted2usd+IQR'!G216, 'converted2usd+IQR'!$O216, 'converted2usd+IQR'!$P216)</f>
        <v>0</v>
      </c>
      <c r="H216" s="20">
        <f>MEDIAN('converted2usd+IQR'!H216, 'converted2usd+IQR'!$O216, 'converted2usd+IQR'!$P216)</f>
        <v>0</v>
      </c>
      <c r="I216" s="20">
        <f>MEDIAN('converted2usd+IQR'!I216, 'converted2usd+IQR'!$O216, 'converted2usd+IQR'!$P216)</f>
        <v>0</v>
      </c>
      <c r="J216" s="20">
        <f>MEDIAN('converted2usd+IQR'!J216, 'converted2usd+IQR'!$O216, 'converted2usd+IQR'!$P216)</f>
        <v>0</v>
      </c>
      <c r="K216" s="20">
        <f>MEDIAN('converted2usd+IQR'!K216, 'converted2usd+IQR'!$O216, 'converted2usd+IQR'!$P216)</f>
        <v>0</v>
      </c>
    </row>
    <row r="217" spans="1:11">
      <c r="A217" s="7" t="s">
        <v>214</v>
      </c>
      <c r="B217" s="20">
        <f>MEDIAN('converted2usd+IQR'!B217, 'converted2usd+IQR'!$O217, 'converted2usd+IQR'!$P217)</f>
        <v>36117.71061660054</v>
      </c>
      <c r="C217" s="20">
        <f>MEDIAN('converted2usd+IQR'!C217, 'converted2usd+IQR'!$O217, 'converted2usd+IQR'!$P217)</f>
        <v>-20675.063239026153</v>
      </c>
      <c r="D217" s="20">
        <f>MEDIAN('converted2usd+IQR'!D217, 'converted2usd+IQR'!$O217, 'converted2usd+IQR'!$P217)</f>
        <v>-1989.1676918088251</v>
      </c>
      <c r="E217" s="20">
        <f>MEDIAN('converted2usd+IQR'!E217, 'converted2usd+IQR'!$O217, 'converted2usd+IQR'!$P217)</f>
        <v>-525.03448845269088</v>
      </c>
      <c r="F217" s="20">
        <f>MEDIAN('converted2usd+IQR'!F217, 'converted2usd+IQR'!$O217, 'converted2usd+IQR'!$P217)</f>
        <v>2608.6132753188772</v>
      </c>
      <c r="G217" s="20">
        <f>MEDIAN('converted2usd+IQR'!G217, 'converted2usd+IQR'!$O217, 'converted2usd+IQR'!$P217)</f>
        <v>-19485.826471341832</v>
      </c>
      <c r="H217" s="20">
        <f>MEDIAN('converted2usd+IQR'!H217, 'converted2usd+IQR'!$O217, 'converted2usd+IQR'!$P217)</f>
        <v>-1203.3320938669015</v>
      </c>
      <c r="I217" s="20">
        <f>MEDIAN('converted2usd+IQR'!I217, 'converted2usd+IQR'!$O217, 'converted2usd+IQR'!$P217)</f>
        <v>8981.1225391957742</v>
      </c>
      <c r="J217" s="20">
        <f>MEDIAN('converted2usd+IQR'!J217, 'converted2usd+IQR'!$O217, 'converted2usd+IQR'!$P217)</f>
        <v>-2255.0462021500975</v>
      </c>
      <c r="K217" s="20">
        <f>MEDIAN('converted2usd+IQR'!K217, 'converted2usd+IQR'!$O217, 'converted2usd+IQR'!$P217)</f>
        <v>33416.682525396456</v>
      </c>
    </row>
    <row r="218" spans="1:11">
      <c r="A218" s="5" t="s">
        <v>215</v>
      </c>
      <c r="B218" s="20">
        <f>MEDIAN('converted2usd+IQR'!B218, 'converted2usd+IQR'!$O218, 'converted2usd+IQR'!$P218)</f>
        <v>0</v>
      </c>
      <c r="C218" s="20">
        <f>MEDIAN('converted2usd+IQR'!C218, 'converted2usd+IQR'!$O218, 'converted2usd+IQR'!$P218)</f>
        <v>0</v>
      </c>
      <c r="D218" s="20">
        <f>MEDIAN('converted2usd+IQR'!D218, 'converted2usd+IQR'!$O218, 'converted2usd+IQR'!$P218)</f>
        <v>0</v>
      </c>
      <c r="E218" s="20">
        <f>MEDIAN('converted2usd+IQR'!E218, 'converted2usd+IQR'!$O218, 'converted2usd+IQR'!$P218)</f>
        <v>0</v>
      </c>
      <c r="F218" s="20">
        <f>MEDIAN('converted2usd+IQR'!F218, 'converted2usd+IQR'!$O218, 'converted2usd+IQR'!$P218)</f>
        <v>0</v>
      </c>
      <c r="G218" s="20">
        <f>MEDIAN('converted2usd+IQR'!G218, 'converted2usd+IQR'!$O218, 'converted2usd+IQR'!$P218)</f>
        <v>0</v>
      </c>
      <c r="H218" s="20">
        <f>MEDIAN('converted2usd+IQR'!H218, 'converted2usd+IQR'!$O218, 'converted2usd+IQR'!$P218)</f>
        <v>0</v>
      </c>
      <c r="I218" s="20">
        <f>MEDIAN('converted2usd+IQR'!I218, 'converted2usd+IQR'!$O218, 'converted2usd+IQR'!$P218)</f>
        <v>0</v>
      </c>
      <c r="J218" s="20">
        <f>MEDIAN('converted2usd+IQR'!J218, 'converted2usd+IQR'!$O218, 'converted2usd+IQR'!$P218)</f>
        <v>0</v>
      </c>
      <c r="K218" s="20">
        <f>MEDIAN('converted2usd+IQR'!K218, 'converted2usd+IQR'!$O218, 'converted2usd+IQR'!$P218)</f>
        <v>0</v>
      </c>
    </row>
    <row r="219" spans="1:11">
      <c r="A219" s="6" t="s">
        <v>216</v>
      </c>
      <c r="B219" s="20">
        <f>MEDIAN('converted2usd+IQR'!B219, 'converted2usd+IQR'!$O219, 'converted2usd+IQR'!$P219)</f>
        <v>0</v>
      </c>
      <c r="C219" s="20">
        <f>MEDIAN('converted2usd+IQR'!C219, 'converted2usd+IQR'!$O219, 'converted2usd+IQR'!$P219)</f>
        <v>0</v>
      </c>
      <c r="D219" s="20">
        <f>MEDIAN('converted2usd+IQR'!D219, 'converted2usd+IQR'!$O219, 'converted2usd+IQR'!$P219)</f>
        <v>0</v>
      </c>
      <c r="E219" s="20">
        <f>MEDIAN('converted2usd+IQR'!E219, 'converted2usd+IQR'!$O219, 'converted2usd+IQR'!$P219)</f>
        <v>0</v>
      </c>
      <c r="F219" s="20">
        <f>MEDIAN('converted2usd+IQR'!F219, 'converted2usd+IQR'!$O219, 'converted2usd+IQR'!$P219)</f>
        <v>0</v>
      </c>
      <c r="G219" s="20">
        <f>MEDIAN('converted2usd+IQR'!G219, 'converted2usd+IQR'!$O219, 'converted2usd+IQR'!$P219)</f>
        <v>0</v>
      </c>
      <c r="H219" s="20">
        <f>MEDIAN('converted2usd+IQR'!H219, 'converted2usd+IQR'!$O219, 'converted2usd+IQR'!$P219)</f>
        <v>0</v>
      </c>
      <c r="I219" s="20">
        <f>MEDIAN('converted2usd+IQR'!I219, 'converted2usd+IQR'!$O219, 'converted2usd+IQR'!$P219)</f>
        <v>0</v>
      </c>
      <c r="J219" s="20">
        <f>MEDIAN('converted2usd+IQR'!J219, 'converted2usd+IQR'!$O219, 'converted2usd+IQR'!$P219)</f>
        <v>0</v>
      </c>
      <c r="K219" s="20">
        <f>MEDIAN('converted2usd+IQR'!K219, 'converted2usd+IQR'!$O219, 'converted2usd+IQR'!$P219)</f>
        <v>0</v>
      </c>
    </row>
    <row r="220" spans="1:11">
      <c r="A220" s="5" t="s">
        <v>217</v>
      </c>
      <c r="B220" s="20">
        <f>MEDIAN('converted2usd+IQR'!B220, 'converted2usd+IQR'!$O220, 'converted2usd+IQR'!$P220)</f>
        <v>0</v>
      </c>
      <c r="C220" s="20">
        <f>MEDIAN('converted2usd+IQR'!C220, 'converted2usd+IQR'!$O220, 'converted2usd+IQR'!$P220)</f>
        <v>0</v>
      </c>
      <c r="D220" s="20">
        <f>MEDIAN('converted2usd+IQR'!D220, 'converted2usd+IQR'!$O220, 'converted2usd+IQR'!$P220)</f>
        <v>0</v>
      </c>
      <c r="E220" s="20">
        <f>MEDIAN('converted2usd+IQR'!E220, 'converted2usd+IQR'!$O220, 'converted2usd+IQR'!$P220)</f>
        <v>0</v>
      </c>
      <c r="F220" s="20">
        <f>MEDIAN('converted2usd+IQR'!F220, 'converted2usd+IQR'!$O220, 'converted2usd+IQR'!$P220)</f>
        <v>0</v>
      </c>
      <c r="G220" s="20">
        <f>MEDIAN('converted2usd+IQR'!G220, 'converted2usd+IQR'!$O220, 'converted2usd+IQR'!$P220)</f>
        <v>0</v>
      </c>
      <c r="H220" s="20">
        <f>MEDIAN('converted2usd+IQR'!H220, 'converted2usd+IQR'!$O220, 'converted2usd+IQR'!$P220)</f>
        <v>0</v>
      </c>
      <c r="I220" s="20">
        <f>MEDIAN('converted2usd+IQR'!I220, 'converted2usd+IQR'!$O220, 'converted2usd+IQR'!$P220)</f>
        <v>0</v>
      </c>
      <c r="J220" s="20">
        <f>MEDIAN('converted2usd+IQR'!J220, 'converted2usd+IQR'!$O220, 'converted2usd+IQR'!$P220)</f>
        <v>0</v>
      </c>
      <c r="K220" s="20">
        <f>MEDIAN('converted2usd+IQR'!K220, 'converted2usd+IQR'!$O220, 'converted2usd+IQR'!$P220)</f>
        <v>0</v>
      </c>
    </row>
    <row r="221" spans="1:11">
      <c r="A221" s="7" t="s">
        <v>218</v>
      </c>
      <c r="B221" s="20">
        <f>MEDIAN('converted2usd+IQR'!B221, 'converted2usd+IQR'!$O221, 'converted2usd+IQR'!$P221)</f>
        <v>0</v>
      </c>
      <c r="C221" s="20">
        <f>MEDIAN('converted2usd+IQR'!C221, 'converted2usd+IQR'!$O221, 'converted2usd+IQR'!$P221)</f>
        <v>0</v>
      </c>
      <c r="D221" s="20">
        <f>MEDIAN('converted2usd+IQR'!D221, 'converted2usd+IQR'!$O221, 'converted2usd+IQR'!$P221)</f>
        <v>0</v>
      </c>
      <c r="E221" s="20">
        <f>MEDIAN('converted2usd+IQR'!E221, 'converted2usd+IQR'!$O221, 'converted2usd+IQR'!$P221)</f>
        <v>0</v>
      </c>
      <c r="F221" s="20">
        <f>MEDIAN('converted2usd+IQR'!F221, 'converted2usd+IQR'!$O221, 'converted2usd+IQR'!$P221)</f>
        <v>0</v>
      </c>
      <c r="G221" s="20">
        <f>MEDIAN('converted2usd+IQR'!G221, 'converted2usd+IQR'!$O221, 'converted2usd+IQR'!$P221)</f>
        <v>0</v>
      </c>
      <c r="H221" s="20">
        <f>MEDIAN('converted2usd+IQR'!H221, 'converted2usd+IQR'!$O221, 'converted2usd+IQR'!$P221)</f>
        <v>0</v>
      </c>
      <c r="I221" s="20">
        <f>MEDIAN('converted2usd+IQR'!I221, 'converted2usd+IQR'!$O221, 'converted2usd+IQR'!$P221)</f>
        <v>0</v>
      </c>
      <c r="J221" s="20">
        <f>MEDIAN('converted2usd+IQR'!J221, 'converted2usd+IQR'!$O221, 'converted2usd+IQR'!$P221)</f>
        <v>0</v>
      </c>
      <c r="K221" s="20">
        <f>MEDIAN('converted2usd+IQR'!K221, 'converted2usd+IQR'!$O221, 'converted2usd+IQR'!$P221)</f>
        <v>0</v>
      </c>
    </row>
    <row r="222" spans="1:11">
      <c r="A222" s="7" t="s">
        <v>219</v>
      </c>
      <c r="B222" s="20">
        <f>MEDIAN('converted2usd+IQR'!B222, 'converted2usd+IQR'!$O222, 'converted2usd+IQR'!$P222)</f>
        <v>36117.71061660054</v>
      </c>
      <c r="C222" s="20">
        <f>MEDIAN('converted2usd+IQR'!C222, 'converted2usd+IQR'!$O222, 'converted2usd+IQR'!$P222)</f>
        <v>-20675.063239026153</v>
      </c>
      <c r="D222" s="20">
        <f>MEDIAN('converted2usd+IQR'!D222, 'converted2usd+IQR'!$O222, 'converted2usd+IQR'!$P222)</f>
        <v>-1989.1676918088251</v>
      </c>
      <c r="E222" s="20">
        <f>MEDIAN('converted2usd+IQR'!E222, 'converted2usd+IQR'!$O222, 'converted2usd+IQR'!$P222)</f>
        <v>-525.03448845269088</v>
      </c>
      <c r="F222" s="20">
        <f>MEDIAN('converted2usd+IQR'!F222, 'converted2usd+IQR'!$O222, 'converted2usd+IQR'!$P222)</f>
        <v>2608.6132753188772</v>
      </c>
      <c r="G222" s="20">
        <f>MEDIAN('converted2usd+IQR'!G222, 'converted2usd+IQR'!$O222, 'converted2usd+IQR'!$P222)</f>
        <v>-19485.826471341832</v>
      </c>
      <c r="H222" s="20">
        <f>MEDIAN('converted2usd+IQR'!H222, 'converted2usd+IQR'!$O222, 'converted2usd+IQR'!$P222)</f>
        <v>-1203.3320938669015</v>
      </c>
      <c r="I222" s="20">
        <f>MEDIAN('converted2usd+IQR'!I222, 'converted2usd+IQR'!$O222, 'converted2usd+IQR'!$P222)</f>
        <v>8981.1225391957742</v>
      </c>
      <c r="J222" s="20">
        <f>MEDIAN('converted2usd+IQR'!J222, 'converted2usd+IQR'!$O222, 'converted2usd+IQR'!$P222)</f>
        <v>-2255.0462021500975</v>
      </c>
      <c r="K222" s="20">
        <f>MEDIAN('converted2usd+IQR'!K222, 'converted2usd+IQR'!$O222, 'converted2usd+IQR'!$P222)</f>
        <v>31851.184802497926</v>
      </c>
    </row>
    <row r="223" spans="1:11">
      <c r="A223" s="6" t="s">
        <v>220</v>
      </c>
      <c r="B223" s="20">
        <f>MEDIAN('converted2usd+IQR'!B223, 'converted2usd+IQR'!$O223, 'converted2usd+IQR'!$P223)</f>
        <v>0</v>
      </c>
      <c r="C223" s="20">
        <f>MEDIAN('converted2usd+IQR'!C223, 'converted2usd+IQR'!$O223, 'converted2usd+IQR'!$P223)</f>
        <v>0</v>
      </c>
      <c r="D223" s="20">
        <f>MEDIAN('converted2usd+IQR'!D223, 'converted2usd+IQR'!$O223, 'converted2usd+IQR'!$P223)</f>
        <v>0</v>
      </c>
      <c r="E223" s="20">
        <f>MEDIAN('converted2usd+IQR'!E223, 'converted2usd+IQR'!$O223, 'converted2usd+IQR'!$P223)</f>
        <v>0</v>
      </c>
      <c r="F223" s="20">
        <f>MEDIAN('converted2usd+IQR'!F223, 'converted2usd+IQR'!$O223, 'converted2usd+IQR'!$P223)</f>
        <v>0</v>
      </c>
      <c r="G223" s="20">
        <f>MEDIAN('converted2usd+IQR'!G223, 'converted2usd+IQR'!$O223, 'converted2usd+IQR'!$P223)</f>
        <v>0</v>
      </c>
      <c r="H223" s="20">
        <f>MEDIAN('converted2usd+IQR'!H223, 'converted2usd+IQR'!$O223, 'converted2usd+IQR'!$P223)</f>
        <v>0</v>
      </c>
      <c r="I223" s="20">
        <f>MEDIAN('converted2usd+IQR'!I223, 'converted2usd+IQR'!$O223, 'converted2usd+IQR'!$P223)</f>
        <v>0</v>
      </c>
      <c r="J223" s="20">
        <f>MEDIAN('converted2usd+IQR'!J223, 'converted2usd+IQR'!$O223, 'converted2usd+IQR'!$P223)</f>
        <v>0</v>
      </c>
      <c r="K223" s="20">
        <f>MEDIAN('converted2usd+IQR'!K223, 'converted2usd+IQR'!$O223, 'converted2usd+IQR'!$P223)</f>
        <v>0</v>
      </c>
    </row>
    <row r="224" spans="1:11">
      <c r="A224" s="5" t="s">
        <v>221</v>
      </c>
      <c r="B224" s="20">
        <f>MEDIAN('converted2usd+IQR'!B224, 'converted2usd+IQR'!$O224, 'converted2usd+IQR'!$P224)</f>
        <v>0</v>
      </c>
      <c r="C224" s="20">
        <f>MEDIAN('converted2usd+IQR'!C224, 'converted2usd+IQR'!$O224, 'converted2usd+IQR'!$P224)</f>
        <v>0</v>
      </c>
      <c r="D224" s="20">
        <f>MEDIAN('converted2usd+IQR'!D224, 'converted2usd+IQR'!$O224, 'converted2usd+IQR'!$P224)</f>
        <v>0</v>
      </c>
      <c r="E224" s="20">
        <f>MEDIAN('converted2usd+IQR'!E224, 'converted2usd+IQR'!$O224, 'converted2usd+IQR'!$P224)</f>
        <v>0</v>
      </c>
      <c r="F224" s="20">
        <f>MEDIAN('converted2usd+IQR'!F224, 'converted2usd+IQR'!$O224, 'converted2usd+IQR'!$P224)</f>
        <v>0</v>
      </c>
      <c r="G224" s="20">
        <f>MEDIAN('converted2usd+IQR'!G224, 'converted2usd+IQR'!$O224, 'converted2usd+IQR'!$P224)</f>
        <v>0</v>
      </c>
      <c r="H224" s="20">
        <f>MEDIAN('converted2usd+IQR'!H224, 'converted2usd+IQR'!$O224, 'converted2usd+IQR'!$P224)</f>
        <v>0</v>
      </c>
      <c r="I224" s="20">
        <f>MEDIAN('converted2usd+IQR'!I224, 'converted2usd+IQR'!$O224, 'converted2usd+IQR'!$P224)</f>
        <v>0</v>
      </c>
      <c r="J224" s="20">
        <f>MEDIAN('converted2usd+IQR'!J224, 'converted2usd+IQR'!$O224, 'converted2usd+IQR'!$P224)</f>
        <v>0</v>
      </c>
      <c r="K224" s="20">
        <f>MEDIAN('converted2usd+IQR'!K224, 'converted2usd+IQR'!$O224, 'converted2usd+IQR'!$P224)</f>
        <v>0</v>
      </c>
    </row>
    <row r="225" spans="1:11">
      <c r="A225" s="6" t="s">
        <v>222</v>
      </c>
      <c r="B225" s="20">
        <f>MEDIAN('converted2usd+IQR'!B225, 'converted2usd+IQR'!$O225, 'converted2usd+IQR'!$P225)</f>
        <v>0</v>
      </c>
      <c r="C225" s="20">
        <f>MEDIAN('converted2usd+IQR'!C225, 'converted2usd+IQR'!$O225, 'converted2usd+IQR'!$P225)</f>
        <v>0</v>
      </c>
      <c r="D225" s="20">
        <f>MEDIAN('converted2usd+IQR'!D225, 'converted2usd+IQR'!$O225, 'converted2usd+IQR'!$P225)</f>
        <v>0</v>
      </c>
      <c r="E225" s="20">
        <f>MEDIAN('converted2usd+IQR'!E225, 'converted2usd+IQR'!$O225, 'converted2usd+IQR'!$P225)</f>
        <v>0</v>
      </c>
      <c r="F225" s="20">
        <f>MEDIAN('converted2usd+IQR'!F225, 'converted2usd+IQR'!$O225, 'converted2usd+IQR'!$P225)</f>
        <v>0</v>
      </c>
      <c r="G225" s="20">
        <f>MEDIAN('converted2usd+IQR'!G225, 'converted2usd+IQR'!$O225, 'converted2usd+IQR'!$P225)</f>
        <v>0</v>
      </c>
      <c r="H225" s="20">
        <f>MEDIAN('converted2usd+IQR'!H225, 'converted2usd+IQR'!$O225, 'converted2usd+IQR'!$P225)</f>
        <v>0</v>
      </c>
      <c r="I225" s="20">
        <f>MEDIAN('converted2usd+IQR'!I225, 'converted2usd+IQR'!$O225, 'converted2usd+IQR'!$P225)</f>
        <v>0</v>
      </c>
      <c r="J225" s="20">
        <f>MEDIAN('converted2usd+IQR'!J225, 'converted2usd+IQR'!$O225, 'converted2usd+IQR'!$P225)</f>
        <v>0</v>
      </c>
      <c r="K225" s="20">
        <f>MEDIAN('converted2usd+IQR'!K225, 'converted2usd+IQR'!$O225, 'converted2usd+IQR'!$P225)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0EFD6-54D3-214F-9241-69DCB782BED6}">
  <dimension ref="A1:M225"/>
  <sheetViews>
    <sheetView tabSelected="1" workbookViewId="0">
      <selection activeCell="E12" sqref="E12"/>
    </sheetView>
  </sheetViews>
  <sheetFormatPr baseColWidth="10" defaultRowHeight="13"/>
  <cols>
    <col min="1" max="1" width="48.5" bestFit="1" customWidth="1"/>
    <col min="2" max="11" width="16.1640625" bestFit="1" customWidth="1"/>
  </cols>
  <sheetData>
    <row r="1" spans="1:13">
      <c r="B1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</row>
    <row r="2" spans="1:13">
      <c r="A2" s="1" t="s">
        <v>0</v>
      </c>
      <c r="B2" s="2">
        <v>12</v>
      </c>
      <c r="C2" s="2">
        <v>12</v>
      </c>
      <c r="D2" s="2">
        <v>12</v>
      </c>
      <c r="E2" s="2">
        <v>12</v>
      </c>
      <c r="F2" s="2">
        <v>12</v>
      </c>
      <c r="G2" s="2">
        <v>12</v>
      </c>
      <c r="H2" s="2">
        <v>12</v>
      </c>
      <c r="I2" s="2">
        <v>12</v>
      </c>
      <c r="J2" s="2">
        <v>12</v>
      </c>
      <c r="K2" s="2">
        <v>12</v>
      </c>
    </row>
    <row r="3" spans="1:13">
      <c r="A3" s="3" t="s">
        <v>1</v>
      </c>
      <c r="B3" s="20">
        <f>+IQR_results_usd!B3*FXs!$C$2</f>
        <v>948303.31700000004</v>
      </c>
      <c r="C3" s="20">
        <f>+IQR_results_usd!C3*FXs!$C$3</f>
        <v>1132571.075</v>
      </c>
      <c r="D3" s="20">
        <f>+IQR_results_usd!D3*FXs!$C$4</f>
        <v>1321849.2600000002</v>
      </c>
      <c r="E3" s="20">
        <f>+IQR_results_usd!E3*FXs!$C$5</f>
        <v>1666215.0980000002</v>
      </c>
      <c r="F3" s="20">
        <f>+IQR_results_usd!F3*FXs!$C$6</f>
        <v>2243152.8729999997</v>
      </c>
      <c r="G3" s="20">
        <f>+IQR_results_usd!G3*FXs!$C$7</f>
        <v>2519903.1029999997</v>
      </c>
      <c r="H3" s="20">
        <f>+IQR_results_usd!H3*FXs!$C$8</f>
        <v>3184127.9720000001</v>
      </c>
      <c r="I3" s="20">
        <f>+IQR_results_usd!I3*FXs!$C$9</f>
        <v>10090609.839000002</v>
      </c>
      <c r="J3" s="20">
        <f>+IQR_results_usd!J3*FXs!$C$10</f>
        <v>17149860.627</v>
      </c>
      <c r="K3" s="20">
        <f>+IQR_results_usd!K3*FXs!$C$11</f>
        <v>24234703.974999998</v>
      </c>
    </row>
    <row r="4" spans="1:13">
      <c r="A4" s="3" t="s">
        <v>2</v>
      </c>
      <c r="B4" s="20">
        <f>+IQR_results_usd!B4*FXs!$C$2</f>
        <v>165868.97600000002</v>
      </c>
      <c r="C4" s="20">
        <f>+IQR_results_usd!C4*FXs!$C$3</f>
        <v>174481.95300000001</v>
      </c>
      <c r="D4" s="20">
        <f>+IQR_results_usd!D4*FXs!$C$4</f>
        <v>188553.524</v>
      </c>
      <c r="E4" s="20">
        <f>+IQR_results_usd!E4*FXs!$C$5</f>
        <v>226511.51500000001</v>
      </c>
      <c r="F4" s="20">
        <f>+IQR_results_usd!F4*FXs!$C$6</f>
        <v>237941.09999999998</v>
      </c>
      <c r="G4" s="20">
        <f>+IQR_results_usd!G4*FXs!$C$7</f>
        <v>438016.49300000002</v>
      </c>
      <c r="H4" s="20">
        <f>+IQR_results_usd!H4*FXs!$C$8</f>
        <v>443279.054</v>
      </c>
      <c r="I4" s="20">
        <f>+IQR_results_usd!I4*FXs!$C$9</f>
        <v>2104055.3489999999</v>
      </c>
      <c r="J4" s="20">
        <f>+IQR_results_usd!J4*FXs!$C$10</f>
        <v>3104576.1110000005</v>
      </c>
      <c r="K4" s="20">
        <f>+IQR_results_usd!K4*FXs!$C$11</f>
        <v>6510695.0109999999</v>
      </c>
      <c r="M4" t="s">
        <v>252</v>
      </c>
    </row>
    <row r="5" spans="1:13">
      <c r="A5" s="3" t="s">
        <v>3</v>
      </c>
      <c r="B5" s="20">
        <f>+IQR_results_usd!B5*FXs!$C$2</f>
        <v>-18816.878999999994</v>
      </c>
      <c r="C5" s="20">
        <f>+IQR_results_usd!C5*FXs!$C$3</f>
        <v>-6374.9640000000072</v>
      </c>
      <c r="D5" s="20">
        <f>+IQR_results_usd!D5*FXs!$C$4</f>
        <v>-11517.087999999989</v>
      </c>
      <c r="E5" s="20">
        <f>+IQR_results_usd!E5*FXs!$C$5</f>
        <v>-13802.035999999993</v>
      </c>
      <c r="F5" s="20">
        <f>+IQR_results_usd!F5*FXs!$C$6</f>
        <v>41655.046000000002</v>
      </c>
      <c r="G5" s="20">
        <f>+IQR_results_usd!G5*FXs!$C$7</f>
        <v>16267.904999999999</v>
      </c>
      <c r="H5" s="20">
        <f>+IQR_results_usd!H5*FXs!$C$8</f>
        <v>12877.40400000001</v>
      </c>
      <c r="I5" s="20">
        <f>+IQR_results_usd!I5*FXs!$C$9</f>
        <v>5810755.8700000001</v>
      </c>
      <c r="J5" s="20">
        <f>+IQR_results_usd!J5*FXs!$C$10</f>
        <v>10803126.855</v>
      </c>
      <c r="K5" s="20">
        <f>+IQR_results_usd!K5*FXs!$C$11</f>
        <v>17097795.476</v>
      </c>
      <c r="M5" t="s">
        <v>253</v>
      </c>
    </row>
    <row r="6" spans="1:13">
      <c r="A6" s="3" t="s">
        <v>4</v>
      </c>
      <c r="B6" s="20">
        <f>+IQR_results_usd!B6*FXs!$C$2</f>
        <v>949085.86500000011</v>
      </c>
      <c r="C6" s="20">
        <f>+IQR_results_usd!C6*FXs!$C$3</f>
        <v>1047559.157</v>
      </c>
      <c r="D6" s="20">
        <f>+IQR_results_usd!D6*FXs!$C$4</f>
        <v>1145402.8599999999</v>
      </c>
      <c r="E6" s="20">
        <f>+IQR_results_usd!E6*FXs!$C$5</f>
        <v>1379534.06</v>
      </c>
      <c r="F6" s="20">
        <f>+IQR_results_usd!F6*FXs!$C$6</f>
        <v>1935837.3820000002</v>
      </c>
      <c r="G6" s="20">
        <f>+IQR_results_usd!G6*FXs!$C$7</f>
        <v>2250777.5290000001</v>
      </c>
      <c r="H6" s="20">
        <f>+IQR_results_usd!H6*FXs!$C$8</f>
        <v>2512094.9310000003</v>
      </c>
      <c r="I6" s="20">
        <f>+IQR_results_usd!I6*FXs!$C$9</f>
        <v>3259756.3730000001</v>
      </c>
      <c r="J6" s="20">
        <f>+IQR_results_usd!J6*FXs!$C$10</f>
        <v>5322307.341</v>
      </c>
      <c r="K6" s="20">
        <f>+IQR_results_usd!K6*FXs!$C$11</f>
        <v>11149770.408000002</v>
      </c>
    </row>
    <row r="7" spans="1:13">
      <c r="A7" s="3" t="s">
        <v>5</v>
      </c>
      <c r="B7" s="20">
        <f>+IQR_results_usd!B7*FXs!$C$2</f>
        <v>177777.95400000003</v>
      </c>
      <c r="C7" s="20">
        <f>+IQR_results_usd!C7*FXs!$C$3</f>
        <v>265868.83499999996</v>
      </c>
      <c r="D7" s="20">
        <f>+IQR_results_usd!D7*FXs!$C$4</f>
        <v>376517.01699999999</v>
      </c>
      <c r="E7" s="20">
        <f>+IQR_results_usd!E7*FXs!$C$5</f>
        <v>526994.59000000008</v>
      </c>
      <c r="F7" s="20">
        <f>+IQR_results_usd!F7*FXs!$C$6</f>
        <v>503601.54700000002</v>
      </c>
      <c r="G7" s="20">
        <f>+IQR_results_usd!G7*FXs!$C$7</f>
        <v>690874.16500000004</v>
      </c>
      <c r="H7" s="20">
        <f>+IQR_results_usd!H7*FXs!$C$8</f>
        <v>1102434.6970000002</v>
      </c>
      <c r="I7" s="20">
        <f>+IQR_results_usd!I7*FXs!$C$9</f>
        <v>3042187.7178247864</v>
      </c>
      <c r="J7" s="20">
        <f>+IQR_results_usd!J7*FXs!$C$10</f>
        <v>4129002.5439999998</v>
      </c>
      <c r="K7" s="20">
        <f>+IQR_results_usd!K7*FXs!$C$11</f>
        <v>2497833.108</v>
      </c>
    </row>
    <row r="8" spans="1:13">
      <c r="A8" s="3" t="s">
        <v>6</v>
      </c>
      <c r="B8" s="20">
        <f>+IQR_results_usd!B8*FXs!$C$2</f>
        <v>105363.84167894261</v>
      </c>
      <c r="C8" s="20">
        <f>+IQR_results_usd!C8*FXs!$C$3</f>
        <v>-72133.791999999972</v>
      </c>
      <c r="D8" s="20">
        <f>+IQR_results_usd!D8*FXs!$C$4</f>
        <v>-7653.7299999999959</v>
      </c>
      <c r="E8" s="20">
        <f>+IQR_results_usd!E8*FXs!$C$5</f>
        <v>-2785.8979999999719</v>
      </c>
      <c r="F8" s="20">
        <f>+IQR_results_usd!F8*FXs!$C$6</f>
        <v>15228.111999999966</v>
      </c>
      <c r="G8" s="20">
        <f>+IQR_results_usd!G8*FXs!$C$7</f>
        <v>-150451.33700000006</v>
      </c>
      <c r="H8" s="20">
        <f>+IQR_results_usd!H8*FXs!$C$8</f>
        <v>-16279.272999999812</v>
      </c>
      <c r="I8" s="20">
        <f>+IQR_results_usd!I8*FXs!$C$9</f>
        <v>167380.89500000011</v>
      </c>
      <c r="J8" s="20">
        <f>+IQR_results_usd!J8*FXs!$C$10</f>
        <v>-65447.217999999652</v>
      </c>
      <c r="K8" s="20">
        <f>+IQR_results_usd!K8*FXs!$C$11</f>
        <v>1111728.1079999995</v>
      </c>
    </row>
    <row r="9" spans="1:13">
      <c r="A9" s="5" t="s">
        <v>7</v>
      </c>
      <c r="B9" s="20">
        <f>+IQR_results_usd!B9*FXs!$C$2</f>
        <v>1114172.2930000001</v>
      </c>
      <c r="C9" s="20">
        <f>+IQR_results_usd!C9*FXs!$C$3</f>
        <v>1307053.0279999999</v>
      </c>
      <c r="D9" s="20">
        <f>+IQR_results_usd!D9*FXs!$C$4</f>
        <v>1510402.7840000002</v>
      </c>
      <c r="E9" s="20">
        <f>+IQR_results_usd!E9*FXs!$C$5</f>
        <v>1892726.6130000004</v>
      </c>
      <c r="F9" s="20">
        <f>+IQR_results_usd!F9*FXs!$C$6</f>
        <v>2481093.9729999998</v>
      </c>
      <c r="G9" s="20">
        <f>+IQR_results_usd!G9*FXs!$C$7</f>
        <v>2957919.5959999999</v>
      </c>
      <c r="H9" s="20">
        <f>+IQR_results_usd!H9*FXs!$C$8</f>
        <v>3627407.0259999996</v>
      </c>
      <c r="I9" s="20">
        <f>+IQR_results_usd!I9*FXs!$C$9</f>
        <v>12194665.188000003</v>
      </c>
      <c r="J9" s="20">
        <f>+IQR_results_usd!J9*FXs!$C$10</f>
        <v>20254436.738000002</v>
      </c>
      <c r="K9" s="20">
        <f>+IQR_results_usd!K9*FXs!$C$11</f>
        <v>30745398.985999998</v>
      </c>
    </row>
    <row r="10" spans="1:13">
      <c r="A10" s="5" t="s">
        <v>8</v>
      </c>
      <c r="B10" s="20">
        <f>+IQR_results_usd!B10*FXs!$C$2</f>
        <v>1108046.9400000002</v>
      </c>
      <c r="C10" s="20">
        <f>+IQR_results_usd!C10*FXs!$C$3</f>
        <v>1307053.0279999999</v>
      </c>
      <c r="D10" s="20">
        <f>+IQR_results_usd!D10*FXs!$C$4</f>
        <v>1510402.7889999999</v>
      </c>
      <c r="E10" s="20">
        <f>+IQR_results_usd!E10*FXs!$C$5</f>
        <v>1892726.6139999998</v>
      </c>
      <c r="F10" s="20">
        <f>+IQR_results_usd!F10*FXs!$C$6</f>
        <v>2481093.9750000006</v>
      </c>
      <c r="G10" s="20">
        <f>+IQR_results_usd!G10*FXs!$C$7</f>
        <v>2957919.5989999999</v>
      </c>
      <c r="H10" s="20">
        <f>+IQR_results_usd!H10*FXs!$C$8</f>
        <v>3627407.0320000011</v>
      </c>
      <c r="I10" s="20">
        <f>+IQR_results_usd!I10*FXs!$C$9</f>
        <v>12194665.194000002</v>
      </c>
      <c r="J10" s="20">
        <f>+IQR_results_usd!J10*FXs!$C$10</f>
        <v>20254436.740000002</v>
      </c>
      <c r="K10" s="20">
        <f>+IQR_results_usd!K10*FXs!$C$11</f>
        <v>30745398.992000002</v>
      </c>
    </row>
    <row r="11" spans="1:13">
      <c r="A11" s="5" t="s">
        <v>9</v>
      </c>
      <c r="B11" s="20">
        <f>+IQR_results_usd!B11*FXs!$C$2</f>
        <v>14032.666999999999</v>
      </c>
      <c r="C11" s="20">
        <f>+IQR_results_usd!C11*FXs!$C$3</f>
        <v>14032.666999999999</v>
      </c>
      <c r="D11" s="20">
        <f>+IQR_results_usd!D11*FXs!$C$4</f>
        <v>23403.323</v>
      </c>
      <c r="E11" s="20">
        <f>+IQR_results_usd!E11*FXs!$C$5</f>
        <v>33060.353000000003</v>
      </c>
      <c r="F11" s="20">
        <f>+IQR_results_usd!F11*FXs!$C$6</f>
        <v>103852.84699999998</v>
      </c>
      <c r="G11" s="20">
        <f>+IQR_results_usd!G11*FXs!$C$7</f>
        <v>101279.094</v>
      </c>
      <c r="H11" s="20">
        <f>+IQR_results_usd!H11*FXs!$C$8</f>
        <v>98968.692999999999</v>
      </c>
      <c r="I11" s="20">
        <f>+IQR_results_usd!I11*FXs!$C$9</f>
        <v>120278.06200000002</v>
      </c>
      <c r="J11" s="20">
        <f>+IQR_results_usd!J11*FXs!$C$10</f>
        <v>290929.44500000001</v>
      </c>
      <c r="K11" s="20">
        <f>+IQR_results_usd!K11*FXs!$C$11</f>
        <v>448557.67099999997</v>
      </c>
    </row>
    <row r="12" spans="1:13">
      <c r="A12" s="6" t="s">
        <v>10</v>
      </c>
      <c r="B12" s="20">
        <f>+IQR_results_usd!B12*FXs!$C$2</f>
        <v>833762.12399999995</v>
      </c>
      <c r="C12" s="20">
        <f>+IQR_results_usd!C12*FXs!$C$3</f>
        <v>1043360.095</v>
      </c>
      <c r="D12" s="20">
        <f>+IQR_results_usd!D12*FXs!$C$4</f>
        <v>1260884.382</v>
      </c>
      <c r="E12" s="20">
        <f>+IQR_results_usd!E12*FXs!$C$5</f>
        <v>1617813.8970000001</v>
      </c>
      <c r="F12" s="20">
        <f>+IQR_results_usd!F12*FXs!$C$6</f>
        <v>1804326.8670000001</v>
      </c>
      <c r="G12" s="20">
        <f>+IQR_results_usd!G12*FXs!$C$7</f>
        <v>2078253.4699999997</v>
      </c>
      <c r="H12" s="20">
        <f>+IQR_results_usd!H12*FXs!$C$8</f>
        <v>2557936.952</v>
      </c>
      <c r="I12" s="20">
        <f>+IQR_results_usd!I12*FXs!$C$9</f>
        <v>7193567.1169999996</v>
      </c>
      <c r="J12" s="20">
        <f>+IQR_results_usd!J12*FXs!$C$10</f>
        <v>13525187.710999999</v>
      </c>
      <c r="K12" s="20">
        <f>+IQR_results_usd!K12*FXs!$C$11</f>
        <v>16975662.245999999</v>
      </c>
    </row>
    <row r="13" spans="1:13">
      <c r="A13" s="5" t="s">
        <v>11</v>
      </c>
      <c r="B13" s="20">
        <f>+IQR_results_usd!B13*FXs!$C$2</f>
        <v>1403.519</v>
      </c>
      <c r="C13" s="20">
        <f>+IQR_results_usd!C13*FXs!$C$3</f>
        <v>1427.037</v>
      </c>
      <c r="D13" s="20">
        <f>+IQR_results_usd!D13*FXs!$C$4</f>
        <v>2041.3710000000001</v>
      </c>
      <c r="E13" s="20">
        <f>+IQR_results_usd!E13*FXs!$C$5</f>
        <v>2721.8560000000002</v>
      </c>
      <c r="F13" s="20">
        <f>+IQR_results_usd!F13*FXs!$C$6</f>
        <v>3448.04</v>
      </c>
      <c r="G13" s="20">
        <f>+IQR_results_usd!G13*FXs!$C$7</f>
        <v>3453.29</v>
      </c>
      <c r="H13" s="20">
        <f>+IQR_results_usd!H13*FXs!$C$8</f>
        <v>3511.3259999999996</v>
      </c>
      <c r="I13" s="20">
        <f>+IQR_results_usd!I13*FXs!$C$9</f>
        <v>19925.234</v>
      </c>
      <c r="J13" s="20">
        <f>+IQR_results_usd!J13*FXs!$C$10</f>
        <v>25704.472000000002</v>
      </c>
      <c r="K13" s="20">
        <f>+IQR_results_usd!K13*FXs!$C$11</f>
        <v>28709.24</v>
      </c>
    </row>
    <row r="14" spans="1:13">
      <c r="A14" s="6" t="s">
        <v>12</v>
      </c>
      <c r="B14" s="20">
        <f>+IQR_results_usd!B14*FXs!$C$2</f>
        <v>20939.670999999998</v>
      </c>
      <c r="C14" s="20">
        <f>+IQR_results_usd!C14*FXs!$C$3</f>
        <v>25333.043000000001</v>
      </c>
      <c r="D14" s="20">
        <f>+IQR_results_usd!D14*FXs!$C$4</f>
        <v>29666.921999999999</v>
      </c>
      <c r="E14" s="20">
        <f>+IQR_results_usd!E14*FXs!$C$5</f>
        <v>34707.233999999997</v>
      </c>
      <c r="F14" s="20">
        <f>+IQR_results_usd!F14*FXs!$C$6</f>
        <v>36676.017999999996</v>
      </c>
      <c r="G14" s="20">
        <f>+IQR_results_usd!G14*FXs!$C$7</f>
        <v>41352.777999999998</v>
      </c>
      <c r="H14" s="20">
        <f>+IQR_results_usd!H14*FXs!$C$8</f>
        <v>49195.082000000002</v>
      </c>
      <c r="I14" s="20">
        <f>+IQR_results_usd!I14*FXs!$C$9</f>
        <v>215053.45699999999</v>
      </c>
      <c r="J14" s="20">
        <f>+IQR_results_usd!J14*FXs!$C$10</f>
        <v>368293.234</v>
      </c>
      <c r="K14" s="20">
        <f>+IQR_results_usd!K14*FXs!$C$11</f>
        <v>432329.51299999998</v>
      </c>
    </row>
    <row r="15" spans="1:13">
      <c r="A15" s="5" t="s">
        <v>13</v>
      </c>
      <c r="B15" s="20">
        <f>+IQR_results_usd!B15*FXs!$C$2</f>
        <v>119819.35799999998</v>
      </c>
      <c r="C15" s="20">
        <f>+IQR_results_usd!C15*FXs!$C$3</f>
        <v>153420.67600000001</v>
      </c>
      <c r="D15" s="20">
        <f>+IQR_results_usd!D15*FXs!$C$4</f>
        <v>181671.883</v>
      </c>
      <c r="E15" s="20">
        <f>+IQR_results_usd!E15*FXs!$C$5</f>
        <v>206840.698</v>
      </c>
      <c r="F15" s="20">
        <f>+IQR_results_usd!F15*FXs!$C$6</f>
        <v>240029.236</v>
      </c>
      <c r="G15" s="20">
        <f>+IQR_results_usd!G15*FXs!$C$7</f>
        <v>259654.77199999997</v>
      </c>
      <c r="H15" s="20">
        <f>+IQR_results_usd!H15*FXs!$C$8</f>
        <v>304228.85100000002</v>
      </c>
      <c r="I15" s="20">
        <f>+IQR_results_usd!I15*FXs!$C$9</f>
        <v>1555545.7990000001</v>
      </c>
      <c r="J15" s="20">
        <f>+IQR_results_usd!J15*FXs!$C$10</f>
        <v>2211598.5729999999</v>
      </c>
      <c r="K15" s="20">
        <f>+IQR_results_usd!K15*FXs!$C$11</f>
        <v>2915529.017</v>
      </c>
    </row>
    <row r="16" spans="1:13">
      <c r="A16" s="6" t="s">
        <v>14</v>
      </c>
      <c r="B16" s="20">
        <f>+IQR_results_usd!B16*FXs!$C$2</f>
        <v>78074.387000000002</v>
      </c>
      <c r="C16" s="20">
        <f>+IQR_results_usd!C16*FXs!$C$3</f>
        <v>78665.805999999997</v>
      </c>
      <c r="D16" s="20">
        <f>+IQR_results_usd!D16*FXs!$C$4</f>
        <v>111033.75900000001</v>
      </c>
      <c r="E16" s="20">
        <f>+IQR_results_usd!E16*FXs!$C$5</f>
        <v>140028.73000000001</v>
      </c>
      <c r="F16" s="20">
        <f>+IQR_results_usd!F16*FXs!$C$6</f>
        <v>158375.25899999999</v>
      </c>
      <c r="G16" s="20">
        <f>+IQR_results_usd!G16*FXs!$C$7</f>
        <v>194663.89199999999</v>
      </c>
      <c r="H16" s="20">
        <f>+IQR_results_usd!H16*FXs!$C$8</f>
        <v>224867.58016561155</v>
      </c>
      <c r="I16" s="20">
        <f>+IQR_results_usd!I16*FXs!$C$9</f>
        <v>696144.92438332841</v>
      </c>
      <c r="J16" s="20">
        <f>+IQR_results_usd!J16*FXs!$C$10</f>
        <v>1084077.0325675451</v>
      </c>
      <c r="K16" s="20">
        <f>+IQR_results_usd!K16*FXs!$C$11</f>
        <v>952913.304</v>
      </c>
    </row>
    <row r="17" spans="1:11">
      <c r="A17" s="5" t="s">
        <v>15</v>
      </c>
      <c r="B17" s="20">
        <f>+IQR_results_usd!B17*FXs!$C$2</f>
        <v>0</v>
      </c>
      <c r="C17" s="20">
        <f>+IQR_results_usd!C17*FXs!$C$3</f>
        <v>0</v>
      </c>
      <c r="D17" s="20">
        <f>+IQR_results_usd!D17*FXs!$C$4</f>
        <v>0</v>
      </c>
      <c r="E17" s="20">
        <f>+IQR_results_usd!E17*FXs!$C$5</f>
        <v>0</v>
      </c>
      <c r="F17" s="20">
        <f>+IQR_results_usd!F17*FXs!$C$6</f>
        <v>0</v>
      </c>
      <c r="G17" s="20">
        <f>+IQR_results_usd!G17*FXs!$C$7</f>
        <v>0</v>
      </c>
      <c r="H17" s="20">
        <f>+IQR_results_usd!H17*FXs!$C$8</f>
        <v>0</v>
      </c>
      <c r="I17" s="20">
        <f>+IQR_results_usd!I17*FXs!$C$9</f>
        <v>14708.053</v>
      </c>
      <c r="J17" s="20">
        <f>+IQR_results_usd!J17*FXs!$C$10</f>
        <v>35116.506999999998</v>
      </c>
      <c r="K17" s="20">
        <f>+IQR_results_usd!K17*FXs!$C$11</f>
        <v>82636.929392223377</v>
      </c>
    </row>
    <row r="18" spans="1:11">
      <c r="A18" s="6" t="s">
        <v>16</v>
      </c>
      <c r="B18" s="20">
        <f>+IQR_results_usd!B18*FXs!$C$2</f>
        <v>14039.53</v>
      </c>
      <c r="C18" s="20">
        <f>+IQR_results_usd!C18*FXs!$C$3</f>
        <v>2262.9029999999998</v>
      </c>
      <c r="D18" s="20">
        <f>+IQR_results_usd!D18*FXs!$C$4</f>
        <v>1688.7149999999999</v>
      </c>
      <c r="E18" s="20">
        <f>+IQR_results_usd!E18*FXs!$C$5</f>
        <v>766.351</v>
      </c>
      <c r="F18" s="20">
        <f>+IQR_results_usd!F18*FXs!$C$6</f>
        <v>1314.864</v>
      </c>
      <c r="G18" s="20">
        <f>+IQR_results_usd!G18*FXs!$C$7</f>
        <v>5537.9179999999997</v>
      </c>
      <c r="H18" s="20">
        <f>+IQR_results_usd!H18*FXs!$C$8</f>
        <v>69886.989000000001</v>
      </c>
      <c r="I18" s="20">
        <f>+IQR_results_usd!I18*FXs!$C$9</f>
        <v>3029387.048</v>
      </c>
      <c r="J18" s="20">
        <f>+IQR_results_usd!J18*FXs!$C$10</f>
        <v>3600896.7889999999</v>
      </c>
      <c r="K18" s="20">
        <f>+IQR_results_usd!K18*FXs!$C$11</f>
        <v>7964508.3940000003</v>
      </c>
    </row>
    <row r="19" spans="1:11">
      <c r="A19" s="5" t="s">
        <v>17</v>
      </c>
      <c r="B19" s="20">
        <f>+IQR_results_usd!B19*FXs!$C$2</f>
        <v>0</v>
      </c>
      <c r="C19" s="20">
        <f>+IQR_results_usd!C19*FXs!$C$3</f>
        <v>0</v>
      </c>
      <c r="D19" s="20">
        <f>+IQR_results_usd!D19*FXs!$C$4</f>
        <v>0</v>
      </c>
      <c r="E19" s="20">
        <f>+IQR_results_usd!E19*FXs!$C$5</f>
        <v>0</v>
      </c>
      <c r="F19" s="20">
        <f>+IQR_results_usd!F19*FXs!$C$6</f>
        <v>0</v>
      </c>
      <c r="G19" s="20">
        <f>+IQR_results_usd!G19*FXs!$C$7</f>
        <v>0</v>
      </c>
      <c r="H19" s="20">
        <f>+IQR_results_usd!H19*FXs!$C$8</f>
        <v>0</v>
      </c>
      <c r="I19" s="20">
        <f>+IQR_results_usd!I19*FXs!$C$9</f>
        <v>0</v>
      </c>
      <c r="J19" s="20">
        <f>+IQR_results_usd!J19*FXs!$C$10</f>
        <v>0</v>
      </c>
      <c r="K19" s="20">
        <f>+IQR_results_usd!K19*FXs!$C$11</f>
        <v>0</v>
      </c>
    </row>
    <row r="20" spans="1:11">
      <c r="A20" s="7" t="s">
        <v>18</v>
      </c>
      <c r="B20" s="20">
        <f>+IQR_results_usd!B20*FXs!$C$2</f>
        <v>1082071.2560000001</v>
      </c>
      <c r="C20" s="20">
        <f>+IQR_results_usd!C20*FXs!$C$3</f>
        <v>1318502.227</v>
      </c>
      <c r="D20" s="20">
        <f>+IQR_results_usd!D20*FXs!$C$4</f>
        <v>1610390.3550000002</v>
      </c>
      <c r="E20" s="20">
        <f>+IQR_results_usd!E20*FXs!$C$5</f>
        <v>2035939.1190000002</v>
      </c>
      <c r="F20" s="20">
        <f>+IQR_results_usd!F20*FXs!$C$6</f>
        <v>2348023.1310000001</v>
      </c>
      <c r="G20" s="20">
        <f>+IQR_results_usd!G20*FXs!$C$7</f>
        <v>2684195.2139999997</v>
      </c>
      <c r="H20" s="20">
        <f>+IQR_results_usd!H20*FXs!$C$8</f>
        <v>3292339.0440000002</v>
      </c>
      <c r="I20" s="20">
        <f>+IQR_results_usd!I20*FXs!$C$9</f>
        <v>13054379.183</v>
      </c>
      <c r="J20" s="20">
        <f>+IQR_results_usd!J20*FXs!$C$10</f>
        <v>21317786.515999999</v>
      </c>
      <c r="K20" s="20">
        <f>+IQR_results_usd!K20*FXs!$C$11</f>
        <v>29875124.062000003</v>
      </c>
    </row>
    <row r="21" spans="1:11">
      <c r="A21" s="5" t="s">
        <v>19</v>
      </c>
      <c r="B21" s="20">
        <f>+IQR_results_usd!B21*FXs!$C$2</f>
        <v>171723.603</v>
      </c>
      <c r="C21" s="20">
        <f>+IQR_results_usd!C21*FXs!$C$3</f>
        <v>232985.014</v>
      </c>
      <c r="D21" s="20">
        <f>+IQR_results_usd!D21*FXs!$C$4</f>
        <v>312488.89500000002</v>
      </c>
      <c r="E21" s="20">
        <f>+IQR_results_usd!E21*FXs!$C$5</f>
        <v>411010.59100000001</v>
      </c>
      <c r="F21" s="20">
        <f>+IQR_results_usd!F21*FXs!$C$6</f>
        <v>509449.80200000008</v>
      </c>
      <c r="G21" s="20">
        <f>+IQR_results_usd!G21*FXs!$C$7</f>
        <v>618698.625</v>
      </c>
      <c r="H21" s="20">
        <f>+IQR_results_usd!H21*FXs!$C$8</f>
        <v>747092.09699999995</v>
      </c>
      <c r="I21" s="20">
        <f>+IQR_results_usd!I21*FXs!$C$9</f>
        <v>3843932.835</v>
      </c>
      <c r="J21" s="20">
        <f>+IQR_results_usd!J21*FXs!$C$10</f>
        <v>5434710.7379999999</v>
      </c>
      <c r="K21" s="20">
        <f>+IQR_results_usd!K21*FXs!$C$11</f>
        <v>7103298.0250000004</v>
      </c>
    </row>
    <row r="22" spans="1:11">
      <c r="A22" s="7" t="s">
        <v>20</v>
      </c>
      <c r="B22" s="20">
        <f>+IQR_results_usd!B22*FXs!$C$2</f>
        <v>910347.65300000005</v>
      </c>
      <c r="C22" s="20">
        <f>+IQR_results_usd!C22*FXs!$C$3</f>
        <v>1085517.213</v>
      </c>
      <c r="D22" s="20">
        <f>+IQR_results_usd!D22*FXs!$C$4</f>
        <v>1297901.4600000002</v>
      </c>
      <c r="E22" s="20">
        <f>+IQR_results_usd!E22*FXs!$C$5</f>
        <v>1624928.5280000002</v>
      </c>
      <c r="F22" s="20">
        <f>+IQR_results_usd!F22*FXs!$C$6</f>
        <v>1838573.3289999999</v>
      </c>
      <c r="G22" s="20">
        <f>+IQR_results_usd!G22*FXs!$C$7</f>
        <v>2065496.5889999995</v>
      </c>
      <c r="H22" s="20">
        <f>+IQR_results_usd!H22*FXs!$C$8</f>
        <v>2545246.9470000002</v>
      </c>
      <c r="I22" s="20">
        <f>+IQR_results_usd!I22*FXs!$C$9</f>
        <v>9210446.3480000012</v>
      </c>
      <c r="J22" s="20">
        <f>+IQR_results_usd!J22*FXs!$C$10</f>
        <v>15883075.777999997</v>
      </c>
      <c r="K22" s="20">
        <f>+IQR_results_usd!K22*FXs!$C$11</f>
        <v>22771826.037</v>
      </c>
    </row>
    <row r="23" spans="1:11">
      <c r="A23" s="5" t="s">
        <v>21</v>
      </c>
      <c r="B23" s="20">
        <f>+IQR_results_usd!B23*FXs!$C$2</f>
        <v>5018.6899999999996</v>
      </c>
      <c r="C23" s="20">
        <f>+IQR_results_usd!C23*FXs!$C$3</f>
        <v>5018.6899999999996</v>
      </c>
      <c r="D23" s="20">
        <f>+IQR_results_usd!D23*FXs!$C$4</f>
        <v>5018.6890000000003</v>
      </c>
      <c r="E23" s="20">
        <f>+IQR_results_usd!E23*FXs!$C$5</f>
        <v>5018.6890000000003</v>
      </c>
      <c r="F23" s="20">
        <f>+IQR_results_usd!F23*FXs!$C$6</f>
        <v>5018.6890000000003</v>
      </c>
      <c r="G23" s="20">
        <f>+IQR_results_usd!G23*FXs!$C$7</f>
        <v>5018.6890000000003</v>
      </c>
      <c r="H23" s="20">
        <f>+IQR_results_usd!H23*FXs!$C$8</f>
        <v>45902.294000000002</v>
      </c>
      <c r="I23" s="20">
        <f>+IQR_results_usd!I23*FXs!$C$9</f>
        <v>5018.6890000000003</v>
      </c>
      <c r="J23" s="20">
        <f>+IQR_results_usd!J23*FXs!$C$10</f>
        <v>5018.6890000000003</v>
      </c>
      <c r="K23" s="20">
        <f>+IQR_results_usd!K23*FXs!$C$11</f>
        <v>5018.6890000000012</v>
      </c>
    </row>
    <row r="24" spans="1:11">
      <c r="A24" s="6" t="s">
        <v>22</v>
      </c>
      <c r="B24" s="20">
        <f>+IQR_results_usd!B24*FXs!$C$2</f>
        <v>0</v>
      </c>
      <c r="C24" s="20">
        <f>+IQR_results_usd!C24*FXs!$C$3</f>
        <v>0</v>
      </c>
      <c r="D24" s="20">
        <f>+IQR_results_usd!D24*FXs!$C$4</f>
        <v>0</v>
      </c>
      <c r="E24" s="20">
        <f>+IQR_results_usd!E24*FXs!$C$5</f>
        <v>0</v>
      </c>
      <c r="F24" s="20">
        <f>+IQR_results_usd!F24*FXs!$C$6</f>
        <v>0</v>
      </c>
      <c r="G24" s="20">
        <f>+IQR_results_usd!G24*FXs!$C$7</f>
        <v>0</v>
      </c>
      <c r="H24" s="20">
        <f>+IQR_results_usd!H24*FXs!$C$8</f>
        <v>0</v>
      </c>
      <c r="I24" s="20">
        <f>+IQR_results_usd!I24*FXs!$C$9</f>
        <v>0</v>
      </c>
      <c r="J24" s="20">
        <f>+IQR_results_usd!J24*FXs!$C$10</f>
        <v>0</v>
      </c>
      <c r="K24" s="20">
        <f>+IQR_results_usd!K24*FXs!$C$11</f>
        <v>0</v>
      </c>
    </row>
    <row r="25" spans="1:11">
      <c r="A25" s="5" t="s">
        <v>23</v>
      </c>
      <c r="B25" s="20">
        <f>+IQR_results_usd!B25*FXs!$C$2</f>
        <v>0</v>
      </c>
      <c r="C25" s="20">
        <f>+IQR_results_usd!C25*FXs!$C$3</f>
        <v>0</v>
      </c>
      <c r="D25" s="20">
        <f>+IQR_results_usd!D25*FXs!$C$4</f>
        <v>0</v>
      </c>
      <c r="E25" s="20">
        <f>+IQR_results_usd!E25*FXs!$C$5</f>
        <v>0</v>
      </c>
      <c r="F25" s="20">
        <f>+IQR_results_usd!F25*FXs!$C$6</f>
        <v>0</v>
      </c>
      <c r="G25" s="20">
        <f>+IQR_results_usd!G25*FXs!$C$7</f>
        <v>0</v>
      </c>
      <c r="H25" s="20">
        <f>+IQR_results_usd!H25*FXs!$C$8</f>
        <v>0</v>
      </c>
      <c r="I25" s="20">
        <f>+IQR_results_usd!I25*FXs!$C$9</f>
        <v>0</v>
      </c>
      <c r="J25" s="20">
        <f>+IQR_results_usd!J25*FXs!$C$10</f>
        <v>0</v>
      </c>
      <c r="K25" s="20">
        <f>+IQR_results_usd!K25*FXs!$C$11</f>
        <v>0</v>
      </c>
    </row>
    <row r="26" spans="1:11">
      <c r="A26" s="6" t="s">
        <v>24</v>
      </c>
      <c r="B26" s="20">
        <f>+IQR_results_usd!B26*FXs!$C$2</f>
        <v>0</v>
      </c>
      <c r="C26" s="20">
        <f>+IQR_results_usd!C26*FXs!$C$3</f>
        <v>0</v>
      </c>
      <c r="D26" s="20">
        <f>+IQR_results_usd!D26*FXs!$C$4</f>
        <v>0</v>
      </c>
      <c r="E26" s="20">
        <f>+IQR_results_usd!E26*FXs!$C$5</f>
        <v>0</v>
      </c>
      <c r="F26" s="20">
        <f>+IQR_results_usd!F26*FXs!$C$6</f>
        <v>0</v>
      </c>
      <c r="G26" s="20">
        <f>+IQR_results_usd!G26*FXs!$C$7</f>
        <v>0</v>
      </c>
      <c r="H26" s="20">
        <f>+IQR_results_usd!H26*FXs!$C$8</f>
        <v>0</v>
      </c>
      <c r="I26" s="20">
        <f>+IQR_results_usd!I26*FXs!$C$9</f>
        <v>0</v>
      </c>
      <c r="J26" s="20">
        <f>+IQR_results_usd!J26*FXs!$C$10</f>
        <v>0</v>
      </c>
      <c r="K26" s="20">
        <f>+IQR_results_usd!K26*FXs!$C$11</f>
        <v>0</v>
      </c>
    </row>
    <row r="27" spans="1:11">
      <c r="A27" s="5" t="s">
        <v>25</v>
      </c>
      <c r="B27" s="20">
        <f>+IQR_results_usd!B27*FXs!$C$2</f>
        <v>0</v>
      </c>
      <c r="C27" s="20">
        <f>+IQR_results_usd!C27*FXs!$C$3</f>
        <v>0</v>
      </c>
      <c r="D27" s="20">
        <f>+IQR_results_usd!D27*FXs!$C$4</f>
        <v>0</v>
      </c>
      <c r="E27" s="20">
        <f>+IQR_results_usd!E27*FXs!$C$5</f>
        <v>0</v>
      </c>
      <c r="F27" s="20">
        <f>+IQR_results_usd!F27*FXs!$C$6</f>
        <v>0</v>
      </c>
      <c r="G27" s="20">
        <f>+IQR_results_usd!G27*FXs!$C$7</f>
        <v>0</v>
      </c>
      <c r="H27" s="20">
        <f>+IQR_results_usd!H27*FXs!$C$8</f>
        <v>0</v>
      </c>
      <c r="I27" s="20">
        <f>+IQR_results_usd!I27*FXs!$C$9</f>
        <v>0</v>
      </c>
      <c r="J27" s="20">
        <f>+IQR_results_usd!J27*FXs!$C$10</f>
        <v>0</v>
      </c>
      <c r="K27" s="20">
        <f>+IQR_results_usd!K27*FXs!$C$11</f>
        <v>0</v>
      </c>
    </row>
    <row r="28" spans="1:11">
      <c r="A28" s="6" t="s">
        <v>26</v>
      </c>
      <c r="B28" s="20">
        <f>+IQR_results_usd!B28*FXs!$C$2</f>
        <v>0</v>
      </c>
      <c r="C28" s="20">
        <f>+IQR_results_usd!C28*FXs!$C$3</f>
        <v>0</v>
      </c>
      <c r="D28" s="20">
        <f>+IQR_results_usd!D28*FXs!$C$4</f>
        <v>0</v>
      </c>
      <c r="E28" s="20">
        <f>+IQR_results_usd!E28*FXs!$C$5</f>
        <v>0</v>
      </c>
      <c r="F28" s="20">
        <f>+IQR_results_usd!F28*FXs!$C$6</f>
        <v>0</v>
      </c>
      <c r="G28" s="20">
        <f>+IQR_results_usd!G28*FXs!$C$7</f>
        <v>0</v>
      </c>
      <c r="H28" s="20">
        <f>+IQR_results_usd!H28*FXs!$C$8</f>
        <v>0</v>
      </c>
      <c r="I28" s="20">
        <f>+IQR_results_usd!I28*FXs!$C$9</f>
        <v>0</v>
      </c>
      <c r="J28" s="20">
        <f>+IQR_results_usd!J28*FXs!$C$10</f>
        <v>0</v>
      </c>
      <c r="K28" s="20">
        <f>+IQR_results_usd!K28*FXs!$C$11</f>
        <v>0</v>
      </c>
    </row>
    <row r="29" spans="1:11">
      <c r="A29" s="5" t="s">
        <v>27</v>
      </c>
      <c r="B29" s="20">
        <f>+IQR_results_usd!B29*FXs!$C$2</f>
        <v>0</v>
      </c>
      <c r="C29" s="20">
        <f>+IQR_results_usd!C29*FXs!$C$3</f>
        <v>0</v>
      </c>
      <c r="D29" s="20">
        <f>+IQR_results_usd!D29*FXs!$C$4</f>
        <v>0</v>
      </c>
      <c r="E29" s="20">
        <f>+IQR_results_usd!E29*FXs!$C$5</f>
        <v>0</v>
      </c>
      <c r="F29" s="20">
        <f>+IQR_results_usd!F29*FXs!$C$6</f>
        <v>0</v>
      </c>
      <c r="G29" s="20">
        <f>+IQR_results_usd!G29*FXs!$C$7</f>
        <v>0</v>
      </c>
      <c r="H29" s="20">
        <f>+IQR_results_usd!H29*FXs!$C$8</f>
        <v>0</v>
      </c>
      <c r="I29" s="20">
        <f>+IQR_results_usd!I29*FXs!$C$9</f>
        <v>0</v>
      </c>
      <c r="J29" s="20">
        <f>+IQR_results_usd!J29*FXs!$C$10</f>
        <v>0</v>
      </c>
      <c r="K29" s="20">
        <f>+IQR_results_usd!K29*FXs!$C$11</f>
        <v>0</v>
      </c>
    </row>
    <row r="30" spans="1:11">
      <c r="A30" s="6" t="s">
        <v>28</v>
      </c>
      <c r="B30" s="20">
        <f>+IQR_results_usd!B30*FXs!$C$2</f>
        <v>1171.6310000000001</v>
      </c>
      <c r="C30" s="20">
        <f>+IQR_results_usd!C30*FXs!$C$3</f>
        <v>13580.647000000001</v>
      </c>
      <c r="D30" s="20">
        <f>+IQR_results_usd!D30*FXs!$C$4</f>
        <v>14037.344999999999</v>
      </c>
      <c r="E30" s="20">
        <f>+IQR_results_usd!E30*FXs!$C$5</f>
        <v>39713.438000000002</v>
      </c>
      <c r="F30" s="20">
        <f>+IQR_results_usd!F30*FXs!$C$6</f>
        <v>40539.995000000003</v>
      </c>
      <c r="G30" s="20">
        <f>+IQR_results_usd!G30*FXs!$C$7</f>
        <v>41274.216999999997</v>
      </c>
      <c r="H30" s="20">
        <f>+IQR_results_usd!H30*FXs!$C$8</f>
        <v>46182.106</v>
      </c>
      <c r="I30" s="20">
        <f>+IQR_results_usd!I30*FXs!$C$9</f>
        <v>531466.255</v>
      </c>
      <c r="J30" s="20">
        <f>+IQR_results_usd!J30*FXs!$C$10</f>
        <v>758034.45200000005</v>
      </c>
      <c r="K30" s="20">
        <f>+IQR_results_usd!K30*FXs!$C$11</f>
        <v>1025764.942</v>
      </c>
    </row>
    <row r="31" spans="1:11">
      <c r="A31" s="5" t="s">
        <v>29</v>
      </c>
      <c r="B31" s="20">
        <f>+IQR_results_usd!B31*FXs!$C$2</f>
        <v>0</v>
      </c>
      <c r="C31" s="20">
        <f>+IQR_results_usd!C31*FXs!$C$3</f>
        <v>8777.9249999999993</v>
      </c>
      <c r="D31" s="20">
        <f>+IQR_results_usd!D31*FXs!$C$4</f>
        <v>11429.745000000001</v>
      </c>
      <c r="E31" s="20">
        <f>+IQR_results_usd!E31*FXs!$C$5</f>
        <v>18887.544000000002</v>
      </c>
      <c r="F31" s="20">
        <f>+IQR_results_usd!F31*FXs!$C$6</f>
        <v>26246.241000000002</v>
      </c>
      <c r="G31" s="20">
        <f>+IQR_results_usd!G31*FXs!$C$7</f>
        <v>32292.360999999997</v>
      </c>
      <c r="H31" s="20">
        <f>+IQR_results_usd!H31*FXs!$C$8</f>
        <v>39465.957000000002</v>
      </c>
      <c r="I31" s="20">
        <f>+IQR_results_usd!I31*FXs!$C$9</f>
        <v>370735.58300000004</v>
      </c>
      <c r="J31" s="20">
        <f>+IQR_results_usd!J31*FXs!$C$10</f>
        <v>586587.05700000003</v>
      </c>
      <c r="K31" s="20">
        <f>+IQR_results_usd!K31*FXs!$C$11</f>
        <v>793925.071</v>
      </c>
    </row>
    <row r="32" spans="1:11">
      <c r="A32" s="7" t="s">
        <v>30</v>
      </c>
      <c r="B32" s="20">
        <f>+IQR_results_usd!B32*FXs!$C$2</f>
        <v>6190.3209999999999</v>
      </c>
      <c r="C32" s="20">
        <f>+IQR_results_usd!C32*FXs!$C$3</f>
        <v>9821.4120000000003</v>
      </c>
      <c r="D32" s="20">
        <f>+IQR_results_usd!D32*FXs!$C$4</f>
        <v>7626.2889999999989</v>
      </c>
      <c r="E32" s="20">
        <f>+IQR_results_usd!E32*FXs!$C$5</f>
        <v>25844.582999999999</v>
      </c>
      <c r="F32" s="20">
        <f>+IQR_results_usd!F32*FXs!$C$6</f>
        <v>19312.442999999999</v>
      </c>
      <c r="G32" s="20">
        <f>+IQR_results_usd!G32*FXs!$C$7</f>
        <v>14000.544999999995</v>
      </c>
      <c r="H32" s="20">
        <f>+IQR_results_usd!H32*FXs!$C$8</f>
        <v>52618.442999999992</v>
      </c>
      <c r="I32" s="20">
        <f>+IQR_results_usd!I32*FXs!$C$9</f>
        <v>165749.36100000003</v>
      </c>
      <c r="J32" s="20">
        <f>+IQR_results_usd!J32*FXs!$C$10</f>
        <v>176466.08400000003</v>
      </c>
      <c r="K32" s="20">
        <f>+IQR_results_usd!K32*FXs!$C$11</f>
        <v>236858.56000000006</v>
      </c>
    </row>
    <row r="33" spans="1:11">
      <c r="A33" s="5" t="s">
        <v>31</v>
      </c>
      <c r="B33" s="20">
        <f>+IQR_results_usd!B33*FXs!$C$2</f>
        <v>744.22400000000005</v>
      </c>
      <c r="C33" s="20">
        <f>+IQR_results_usd!C33*FXs!$C$3</f>
        <v>979.22400000000005</v>
      </c>
      <c r="D33" s="20">
        <f>+IQR_results_usd!D33*FXs!$C$4</f>
        <v>9934.6450000000004</v>
      </c>
      <c r="E33" s="20">
        <f>+IQR_results_usd!E33*FXs!$C$5</f>
        <v>11068.502</v>
      </c>
      <c r="F33" s="20">
        <f>+IQR_results_usd!F33*FXs!$C$6</f>
        <v>17929.223999999998</v>
      </c>
      <c r="G33" s="20">
        <f>+IQR_results_usd!G33*FXs!$C$7</f>
        <v>15245.519</v>
      </c>
      <c r="H33" s="20">
        <f>+IQR_results_usd!H33*FXs!$C$8</f>
        <v>41104.146000000001</v>
      </c>
      <c r="I33" s="20">
        <f>+IQR_results_usd!I33*FXs!$C$9</f>
        <v>75974.125</v>
      </c>
      <c r="J33" s="20">
        <f>+IQR_results_usd!J33*FXs!$C$10</f>
        <v>269727.26487415994</v>
      </c>
      <c r="K33" s="20">
        <f>+IQR_results_usd!K33*FXs!$C$11</f>
        <v>324385.99558418593</v>
      </c>
    </row>
    <row r="34" spans="1:11">
      <c r="A34" s="6" t="s">
        <v>32</v>
      </c>
      <c r="B34" s="20">
        <f>+IQR_results_usd!B34*FXs!$C$2</f>
        <v>0</v>
      </c>
      <c r="C34" s="20">
        <f>+IQR_results_usd!C34*FXs!$C$3</f>
        <v>0</v>
      </c>
      <c r="D34" s="20">
        <f>+IQR_results_usd!D34*FXs!$C$4</f>
        <v>0</v>
      </c>
      <c r="E34" s="20">
        <f>+IQR_results_usd!E34*FXs!$C$5</f>
        <v>0</v>
      </c>
      <c r="F34" s="20">
        <f>+IQR_results_usd!F34*FXs!$C$6</f>
        <v>0</v>
      </c>
      <c r="G34" s="20">
        <f>+IQR_results_usd!G34*FXs!$C$7</f>
        <v>0</v>
      </c>
      <c r="H34" s="20">
        <f>+IQR_results_usd!H34*FXs!$C$8</f>
        <v>0</v>
      </c>
      <c r="I34" s="20">
        <f>+IQR_results_usd!I34*FXs!$C$9</f>
        <v>0</v>
      </c>
      <c r="J34" s="20">
        <f>+IQR_results_usd!J34*FXs!$C$10</f>
        <v>0</v>
      </c>
      <c r="K34" s="20">
        <f>+IQR_results_usd!K34*FXs!$C$11</f>
        <v>0</v>
      </c>
    </row>
    <row r="35" spans="1:11">
      <c r="A35" s="5" t="s">
        <v>33</v>
      </c>
      <c r="B35" s="20">
        <f>+IQR_results_usd!B35*FXs!$C$2</f>
        <v>0</v>
      </c>
      <c r="C35" s="20">
        <f>+IQR_results_usd!C35*FXs!$C$3</f>
        <v>0</v>
      </c>
      <c r="D35" s="20">
        <f>+IQR_results_usd!D35*FXs!$C$4</f>
        <v>0</v>
      </c>
      <c r="E35" s="20">
        <f>+IQR_results_usd!E35*FXs!$C$5</f>
        <v>0</v>
      </c>
      <c r="F35" s="20">
        <f>+IQR_results_usd!F35*FXs!$C$6</f>
        <v>0</v>
      </c>
      <c r="G35" s="20">
        <f>+IQR_results_usd!G35*FXs!$C$7</f>
        <v>0</v>
      </c>
      <c r="H35" s="20">
        <f>+IQR_results_usd!H35*FXs!$C$8</f>
        <v>0</v>
      </c>
      <c r="I35" s="20">
        <f>+IQR_results_usd!I35*FXs!$C$9</f>
        <v>0</v>
      </c>
      <c r="J35" s="20">
        <f>+IQR_results_usd!J35*FXs!$C$10</f>
        <v>0</v>
      </c>
      <c r="K35" s="20">
        <f>+IQR_results_usd!K35*FXs!$C$11</f>
        <v>0</v>
      </c>
    </row>
    <row r="36" spans="1:11">
      <c r="A36" s="6" t="s">
        <v>34</v>
      </c>
      <c r="B36" s="20">
        <f>+IQR_results_usd!B36*FXs!$C$2</f>
        <v>0</v>
      </c>
      <c r="C36" s="20">
        <f>+IQR_results_usd!C36*FXs!$C$3</f>
        <v>0</v>
      </c>
      <c r="D36" s="20">
        <f>+IQR_results_usd!D36*FXs!$C$4</f>
        <v>0</v>
      </c>
      <c r="E36" s="20">
        <f>+IQR_results_usd!E36*FXs!$C$5</f>
        <v>0</v>
      </c>
      <c r="F36" s="20">
        <f>+IQR_results_usd!F36*FXs!$C$6</f>
        <v>0</v>
      </c>
      <c r="G36" s="20">
        <f>+IQR_results_usd!G36*FXs!$C$7</f>
        <v>0</v>
      </c>
      <c r="H36" s="20">
        <f>+IQR_results_usd!H36*FXs!$C$8</f>
        <v>0</v>
      </c>
      <c r="I36" s="20">
        <f>+IQR_results_usd!I36*FXs!$C$9</f>
        <v>0</v>
      </c>
      <c r="J36" s="20">
        <f>+IQR_results_usd!J36*FXs!$C$10</f>
        <v>0</v>
      </c>
      <c r="K36" s="20">
        <f>+IQR_results_usd!K36*FXs!$C$11</f>
        <v>0</v>
      </c>
    </row>
    <row r="37" spans="1:11">
      <c r="A37" s="5" t="s">
        <v>35</v>
      </c>
      <c r="B37" s="20">
        <f>+IQR_results_usd!B37*FXs!$C$2</f>
        <v>3939.9690000000001</v>
      </c>
      <c r="C37" s="20">
        <f>+IQR_results_usd!C37*FXs!$C$3</f>
        <v>14136.262236844392</v>
      </c>
      <c r="D37" s="20">
        <f>+IQR_results_usd!D37*FXs!$C$4</f>
        <v>0</v>
      </c>
      <c r="E37" s="20">
        <f>+IQR_results_usd!E37*FXs!$C$5</f>
        <v>0</v>
      </c>
      <c r="F37" s="20">
        <f>+IQR_results_usd!F37*FXs!$C$6</f>
        <v>0</v>
      </c>
      <c r="G37" s="20">
        <f>+IQR_results_usd!G37*FXs!$C$7</f>
        <v>0</v>
      </c>
      <c r="H37" s="20">
        <f>+IQR_results_usd!H37*FXs!$C$8</f>
        <v>0</v>
      </c>
      <c r="I37" s="20">
        <f>+IQR_results_usd!I37*FXs!$C$9</f>
        <v>47724.663999999997</v>
      </c>
      <c r="J37" s="20">
        <f>+IQR_results_usd!J37*FXs!$C$10</f>
        <v>0</v>
      </c>
      <c r="K37" s="20">
        <f>+IQR_results_usd!K37*FXs!$C$11</f>
        <v>0</v>
      </c>
    </row>
    <row r="38" spans="1:11">
      <c r="A38" s="6" t="s">
        <v>36</v>
      </c>
      <c r="B38" s="20">
        <f>+IQR_results_usd!B38*FXs!$C$2</f>
        <v>0</v>
      </c>
      <c r="C38" s="20">
        <f>+IQR_results_usd!C38*FXs!$C$3</f>
        <v>0</v>
      </c>
      <c r="D38" s="20">
        <f>+IQR_results_usd!D38*FXs!$C$4</f>
        <v>0</v>
      </c>
      <c r="E38" s="20">
        <f>+IQR_results_usd!E38*FXs!$C$5</f>
        <v>0</v>
      </c>
      <c r="F38" s="20">
        <f>+IQR_results_usd!F38*FXs!$C$6</f>
        <v>0</v>
      </c>
      <c r="G38" s="20">
        <f>+IQR_results_usd!G38*FXs!$C$7</f>
        <v>0</v>
      </c>
      <c r="H38" s="20">
        <f>+IQR_results_usd!H38*FXs!$C$8</f>
        <v>0</v>
      </c>
      <c r="I38" s="20">
        <f>+IQR_results_usd!I38*FXs!$C$9</f>
        <v>0</v>
      </c>
      <c r="J38" s="20">
        <f>+IQR_results_usd!J38*FXs!$C$10</f>
        <v>0</v>
      </c>
      <c r="K38" s="20">
        <f>+IQR_results_usd!K38*FXs!$C$11</f>
        <v>0</v>
      </c>
    </row>
    <row r="39" spans="1:11">
      <c r="A39" s="5" t="s">
        <v>37</v>
      </c>
      <c r="B39" s="20">
        <f>+IQR_results_usd!B39*FXs!$C$2</f>
        <v>0</v>
      </c>
      <c r="C39" s="20">
        <f>+IQR_results_usd!C39*FXs!$C$3</f>
        <v>0</v>
      </c>
      <c r="D39" s="20">
        <f>+IQR_results_usd!D39*FXs!$C$4</f>
        <v>0</v>
      </c>
      <c r="E39" s="20">
        <f>+IQR_results_usd!E39*FXs!$C$5</f>
        <v>0</v>
      </c>
      <c r="F39" s="20">
        <f>+IQR_results_usd!F39*FXs!$C$6</f>
        <v>0</v>
      </c>
      <c r="G39" s="20">
        <f>+IQR_results_usd!G39*FXs!$C$7</f>
        <v>0</v>
      </c>
      <c r="H39" s="20">
        <f>+IQR_results_usd!H39*FXs!$C$8</f>
        <v>0</v>
      </c>
      <c r="I39" s="20">
        <f>+IQR_results_usd!I39*FXs!$C$9</f>
        <v>0</v>
      </c>
      <c r="J39" s="20">
        <f>+IQR_results_usd!J39*FXs!$C$10</f>
        <v>0</v>
      </c>
      <c r="K39" s="20">
        <f>+IQR_results_usd!K39*FXs!$C$11</f>
        <v>0</v>
      </c>
    </row>
    <row r="40" spans="1:11">
      <c r="A40" s="6" t="s">
        <v>38</v>
      </c>
      <c r="B40" s="20">
        <f>+IQR_results_usd!B40*FXs!$C$2</f>
        <v>0</v>
      </c>
      <c r="C40" s="20">
        <f>+IQR_results_usd!C40*FXs!$C$3</f>
        <v>0</v>
      </c>
      <c r="D40" s="20">
        <f>+IQR_results_usd!D40*FXs!$C$4</f>
        <v>0</v>
      </c>
      <c r="E40" s="20">
        <f>+IQR_results_usd!E40*FXs!$C$5</f>
        <v>0</v>
      </c>
      <c r="F40" s="20">
        <f>+IQR_results_usd!F40*FXs!$C$6</f>
        <v>0</v>
      </c>
      <c r="G40" s="20">
        <f>+IQR_results_usd!G40*FXs!$C$7</f>
        <v>0</v>
      </c>
      <c r="H40" s="20">
        <f>+IQR_results_usd!H40*FXs!$C$8</f>
        <v>0</v>
      </c>
      <c r="I40" s="20">
        <f>+IQR_results_usd!I40*FXs!$C$9</f>
        <v>0</v>
      </c>
      <c r="J40" s="20">
        <f>+IQR_results_usd!J40*FXs!$C$10</f>
        <v>0</v>
      </c>
      <c r="K40" s="20">
        <f>+IQR_results_usd!K40*FXs!$C$11</f>
        <v>0</v>
      </c>
    </row>
    <row r="41" spans="1:11">
      <c r="A41" s="5" t="s">
        <v>39</v>
      </c>
      <c r="B41" s="20">
        <f>+IQR_results_usd!B41*FXs!$C$2</f>
        <v>0</v>
      </c>
      <c r="C41" s="20">
        <f>+IQR_results_usd!C41*FXs!$C$3</f>
        <v>0</v>
      </c>
      <c r="D41" s="20">
        <f>+IQR_results_usd!D41*FXs!$C$4</f>
        <v>0</v>
      </c>
      <c r="E41" s="20">
        <f>+IQR_results_usd!E41*FXs!$C$5</f>
        <v>0</v>
      </c>
      <c r="F41" s="20">
        <f>+IQR_results_usd!F41*FXs!$C$6</f>
        <v>0</v>
      </c>
      <c r="G41" s="20">
        <f>+IQR_results_usd!G41*FXs!$C$7</f>
        <v>0</v>
      </c>
      <c r="H41" s="20">
        <f>+IQR_results_usd!H41*FXs!$C$8</f>
        <v>0</v>
      </c>
      <c r="I41" s="20">
        <f>+IQR_results_usd!I41*FXs!$C$9</f>
        <v>0</v>
      </c>
      <c r="J41" s="20">
        <f>+IQR_results_usd!J41*FXs!$C$10</f>
        <v>0</v>
      </c>
      <c r="K41" s="20">
        <f>+IQR_results_usd!K41*FXs!$C$11</f>
        <v>0</v>
      </c>
    </row>
    <row r="42" spans="1:11">
      <c r="A42" s="6" t="s">
        <v>40</v>
      </c>
      <c r="B42" s="20">
        <f>+IQR_results_usd!B42*FXs!$C$2</f>
        <v>0</v>
      </c>
      <c r="C42" s="20">
        <f>+IQR_results_usd!C42*FXs!$C$3</f>
        <v>2E-3</v>
      </c>
      <c r="D42" s="20">
        <f>+IQR_results_usd!D42*FXs!$C$4</f>
        <v>0</v>
      </c>
      <c r="E42" s="20">
        <f>+IQR_results_usd!E42*FXs!$C$5</f>
        <v>0</v>
      </c>
      <c r="F42" s="20">
        <f>+IQR_results_usd!F42*FXs!$C$6</f>
        <v>1.0039121167746239E-2</v>
      </c>
      <c r="G42" s="20">
        <f>+IQR_results_usd!G42*FXs!$C$7</f>
        <v>0</v>
      </c>
      <c r="H42" s="20">
        <f>+IQR_results_usd!H42*FXs!$C$8</f>
        <v>2.3265309812431977E-2</v>
      </c>
      <c r="I42" s="20">
        <f>+IQR_results_usd!I42*FXs!$C$9</f>
        <v>0</v>
      </c>
      <c r="J42" s="20">
        <f>+IQR_results_usd!J42*FXs!$C$10</f>
        <v>0</v>
      </c>
      <c r="K42" s="20">
        <f>+IQR_results_usd!K42*FXs!$C$11</f>
        <v>0</v>
      </c>
    </row>
    <row r="43" spans="1:11">
      <c r="A43" s="5" t="s">
        <v>41</v>
      </c>
      <c r="B43" s="20">
        <f>+IQR_results_usd!B43*FXs!$C$2</f>
        <v>0</v>
      </c>
      <c r="C43" s="20">
        <f>+IQR_results_usd!C43*FXs!$C$3</f>
        <v>0</v>
      </c>
      <c r="D43" s="20">
        <f>+IQR_results_usd!D43*FXs!$C$4</f>
        <v>0</v>
      </c>
      <c r="E43" s="20">
        <f>+IQR_results_usd!E43*FXs!$C$5</f>
        <v>0</v>
      </c>
      <c r="F43" s="20">
        <f>+IQR_results_usd!F43*FXs!$C$6</f>
        <v>0</v>
      </c>
      <c r="G43" s="20">
        <f>+IQR_results_usd!G43*FXs!$C$7</f>
        <v>0</v>
      </c>
      <c r="H43" s="20">
        <f>+IQR_results_usd!H43*FXs!$C$8</f>
        <v>0</v>
      </c>
      <c r="I43" s="20">
        <f>+IQR_results_usd!I43*FXs!$C$9</f>
        <v>0</v>
      </c>
      <c r="J43" s="20">
        <f>+IQR_results_usd!J43*FXs!$C$10</f>
        <v>0</v>
      </c>
      <c r="K43" s="20">
        <f>+IQR_results_usd!K43*FXs!$C$11</f>
        <v>0</v>
      </c>
    </row>
    <row r="44" spans="1:11">
      <c r="A44" s="6" t="s">
        <v>42</v>
      </c>
      <c r="B44" s="20">
        <f>+IQR_results_usd!B44*FXs!$C$2</f>
        <v>13425.013999999997</v>
      </c>
      <c r="C44" s="20">
        <f>+IQR_results_usd!C44*FXs!$C$3</f>
        <v>8400</v>
      </c>
      <c r="D44" s="20">
        <f>+IQR_results_usd!D44*FXs!$C$4</f>
        <v>6000</v>
      </c>
      <c r="E44" s="20">
        <f>+IQR_results_usd!E44*FXs!$C$5</f>
        <v>3600</v>
      </c>
      <c r="F44" s="20">
        <f>+IQR_results_usd!F44*FXs!$C$6</f>
        <v>366230</v>
      </c>
      <c r="G44" s="20">
        <f>+IQR_results_usd!G44*FXs!$C$7</f>
        <v>414859.45</v>
      </c>
      <c r="H44" s="20">
        <f>+IQR_results_usd!H44*FXs!$C$8</f>
        <v>538403.94999999995</v>
      </c>
      <c r="I44" s="20">
        <f>+IQR_results_usd!I44*FXs!$C$9</f>
        <v>582099.07999999996</v>
      </c>
      <c r="J44" s="20">
        <f>+IQR_results_usd!J44*FXs!$C$10</f>
        <v>713368.41</v>
      </c>
      <c r="K44" s="20">
        <f>+IQR_results_usd!K44*FXs!$C$11</f>
        <v>633815.02500000002</v>
      </c>
    </row>
    <row r="45" spans="1:11">
      <c r="A45" s="5" t="s">
        <v>43</v>
      </c>
      <c r="B45" s="20">
        <f>+IQR_results_usd!B45*FXs!$C$2</f>
        <v>2.8119999999999998</v>
      </c>
      <c r="C45" s="20">
        <f>+IQR_results_usd!C45*FXs!$C$3</f>
        <v>7.8879999999999999</v>
      </c>
      <c r="D45" s="20">
        <f>+IQR_results_usd!D45*FXs!$C$4</f>
        <v>318.85399999999998</v>
      </c>
      <c r="E45" s="20">
        <f>+IQR_results_usd!E45*FXs!$C$5</f>
        <v>663.27200000000005</v>
      </c>
      <c r="F45" s="20">
        <f>+IQR_results_usd!F45*FXs!$C$6</f>
        <v>898.24699999999996</v>
      </c>
      <c r="G45" s="20">
        <f>+IQR_results_usd!G45*FXs!$C$7</f>
        <v>9649.0810000000001</v>
      </c>
      <c r="H45" s="20">
        <f>+IQR_results_usd!H45*FXs!$C$8</f>
        <v>5708.1229999999996</v>
      </c>
      <c r="I45" s="20">
        <f>+IQR_results_usd!I45*FXs!$C$9</f>
        <v>7229.7430000000004</v>
      </c>
      <c r="J45" s="20">
        <f>+IQR_results_usd!J45*FXs!$C$10</f>
        <v>63717.541999999994</v>
      </c>
      <c r="K45" s="20">
        <f>+IQR_results_usd!K45*FXs!$C$11</f>
        <v>30083.247999999996</v>
      </c>
    </row>
    <row r="46" spans="1:11">
      <c r="A46" s="6" t="s">
        <v>44</v>
      </c>
      <c r="B46" s="20">
        <f>+IQR_results_usd!B46*FXs!$C$2</f>
        <v>96.352999999999994</v>
      </c>
      <c r="C46" s="20">
        <f>+IQR_results_usd!C46*FXs!$C$3</f>
        <v>109.42700000000001</v>
      </c>
      <c r="D46" s="20">
        <f>+IQR_results_usd!D46*FXs!$C$4</f>
        <v>68.012</v>
      </c>
      <c r="E46" s="20">
        <f>+IQR_results_usd!E46*FXs!$C$5</f>
        <v>110.21299999999998</v>
      </c>
      <c r="F46" s="20">
        <f>+IQR_results_usd!F46*FXs!$C$6</f>
        <v>115.806</v>
      </c>
      <c r="G46" s="20">
        <f>+IQR_results_usd!G46*FXs!$C$7</f>
        <v>651.91899999999998</v>
      </c>
      <c r="H46" s="20">
        <f>+IQR_results_usd!H46*FXs!$C$8</f>
        <v>1045.393</v>
      </c>
      <c r="I46" s="20">
        <f>+IQR_results_usd!I46*FXs!$C$9</f>
        <v>1386.5180000000003</v>
      </c>
      <c r="J46" s="20">
        <f>+IQR_results_usd!J46*FXs!$C$10</f>
        <v>2664.7820000000002</v>
      </c>
      <c r="K46" s="20">
        <f>+IQR_results_usd!K46*FXs!$C$11</f>
        <v>5079.3019999999997</v>
      </c>
    </row>
    <row r="47" spans="1:11">
      <c r="A47" s="5" t="s">
        <v>45</v>
      </c>
      <c r="B47" s="20">
        <f>+IQR_results_usd!B47*FXs!$C$2</f>
        <v>0</v>
      </c>
      <c r="C47" s="20">
        <f>+IQR_results_usd!C47*FXs!$C$3</f>
        <v>0</v>
      </c>
      <c r="D47" s="20">
        <f>+IQR_results_usd!D47*FXs!$C$4</f>
        <v>0</v>
      </c>
      <c r="E47" s="20">
        <f>+IQR_results_usd!E47*FXs!$C$5</f>
        <v>0</v>
      </c>
      <c r="F47" s="20">
        <f>+IQR_results_usd!F47*FXs!$C$6</f>
        <v>0</v>
      </c>
      <c r="G47" s="20">
        <f>+IQR_results_usd!G47*FXs!$C$7</f>
        <v>0</v>
      </c>
      <c r="H47" s="20">
        <f>+IQR_results_usd!H47*FXs!$C$8</f>
        <v>0</v>
      </c>
      <c r="I47" s="20">
        <f>+IQR_results_usd!I47*FXs!$C$9</f>
        <v>0</v>
      </c>
      <c r="J47" s="20">
        <f>+IQR_results_usd!J47*FXs!$C$10</f>
        <v>0</v>
      </c>
      <c r="K47" s="20">
        <f>+IQR_results_usd!K47*FXs!$C$11</f>
        <v>0</v>
      </c>
    </row>
    <row r="48" spans="1:11">
      <c r="A48" s="6" t="s">
        <v>46</v>
      </c>
      <c r="B48" s="20">
        <f>+IQR_results_usd!B48*FXs!$C$2</f>
        <v>0</v>
      </c>
      <c r="C48" s="20">
        <f>+IQR_results_usd!C48*FXs!$C$3</f>
        <v>0</v>
      </c>
      <c r="D48" s="20">
        <f>+IQR_results_usd!D48*FXs!$C$4</f>
        <v>0</v>
      </c>
      <c r="E48" s="20">
        <f>+IQR_results_usd!E48*FXs!$C$5</f>
        <v>0</v>
      </c>
      <c r="F48" s="20">
        <f>+IQR_results_usd!F48*FXs!$C$6</f>
        <v>0</v>
      </c>
      <c r="G48" s="20">
        <f>+IQR_results_usd!G48*FXs!$C$7</f>
        <v>0</v>
      </c>
      <c r="H48" s="20">
        <f>+IQR_results_usd!H48*FXs!$C$8</f>
        <v>0</v>
      </c>
      <c r="I48" s="20">
        <f>+IQR_results_usd!I48*FXs!$C$9</f>
        <v>0</v>
      </c>
      <c r="J48" s="20">
        <f>+IQR_results_usd!J48*FXs!$C$10</f>
        <v>0</v>
      </c>
      <c r="K48" s="20">
        <f>+IQR_results_usd!K48*FXs!$C$11</f>
        <v>0</v>
      </c>
    </row>
    <row r="49" spans="1:11">
      <c r="A49" s="5" t="s">
        <v>47</v>
      </c>
      <c r="B49" s="20">
        <f>+IQR_results_usd!B49*FXs!$C$2</f>
        <v>0</v>
      </c>
      <c r="C49" s="20">
        <f>+IQR_results_usd!C49*FXs!$C$3</f>
        <v>0</v>
      </c>
      <c r="D49" s="20">
        <f>+IQR_results_usd!D49*FXs!$C$4</f>
        <v>0</v>
      </c>
      <c r="E49" s="20">
        <f>+IQR_results_usd!E49*FXs!$C$5</f>
        <v>0</v>
      </c>
      <c r="F49" s="20">
        <f>+IQR_results_usd!F49*FXs!$C$6</f>
        <v>0</v>
      </c>
      <c r="G49" s="20">
        <f>+IQR_results_usd!G49*FXs!$C$7</f>
        <v>0</v>
      </c>
      <c r="H49" s="20">
        <f>+IQR_results_usd!H49*FXs!$C$8</f>
        <v>0</v>
      </c>
      <c r="I49" s="20">
        <f>+IQR_results_usd!I49*FXs!$C$9</f>
        <v>0</v>
      </c>
      <c r="J49" s="20">
        <f>+IQR_results_usd!J49*FXs!$C$10</f>
        <v>0</v>
      </c>
      <c r="K49" s="20">
        <f>+IQR_results_usd!K49*FXs!$C$11</f>
        <v>0</v>
      </c>
    </row>
    <row r="50" spans="1:11">
      <c r="A50" s="6" t="s">
        <v>48</v>
      </c>
      <c r="B50" s="20">
        <f>+IQR_results_usd!B50*FXs!$C$2</f>
        <v>0</v>
      </c>
      <c r="C50" s="20">
        <f>+IQR_results_usd!C50*FXs!$C$3</f>
        <v>0</v>
      </c>
      <c r="D50" s="20">
        <f>+IQR_results_usd!D50*FXs!$C$4</f>
        <v>0</v>
      </c>
      <c r="E50" s="20">
        <f>+IQR_results_usd!E50*FXs!$C$5</f>
        <v>0</v>
      </c>
      <c r="F50" s="20">
        <f>+IQR_results_usd!F50*FXs!$C$6</f>
        <v>0</v>
      </c>
      <c r="G50" s="20">
        <f>+IQR_results_usd!G50*FXs!$C$7</f>
        <v>0</v>
      </c>
      <c r="H50" s="20">
        <f>+IQR_results_usd!H50*FXs!$C$8</f>
        <v>0</v>
      </c>
      <c r="I50" s="20">
        <f>+IQR_results_usd!I50*FXs!$C$9</f>
        <v>0</v>
      </c>
      <c r="J50" s="20">
        <f>+IQR_results_usd!J50*FXs!$C$10</f>
        <v>0</v>
      </c>
      <c r="K50" s="20">
        <f>+IQR_results_usd!K50*FXs!$C$11</f>
        <v>0</v>
      </c>
    </row>
    <row r="51" spans="1:11">
      <c r="A51" s="5" t="s">
        <v>49</v>
      </c>
      <c r="B51" s="20">
        <f>+IQR_results_usd!B51*FXs!$C$2</f>
        <v>8188.8090000000002</v>
      </c>
      <c r="C51" s="20">
        <f>+IQR_results_usd!C51*FXs!$C$3</f>
        <v>9285.59</v>
      </c>
      <c r="D51" s="20">
        <f>+IQR_results_usd!D51*FXs!$C$4</f>
        <v>11475.494000000001</v>
      </c>
      <c r="E51" s="20">
        <f>+IQR_results_usd!E51*FXs!$C$5</f>
        <v>18170.817999999999</v>
      </c>
      <c r="F51" s="20">
        <f>+IQR_results_usd!F51*FXs!$C$6</f>
        <v>20134.517</v>
      </c>
      <c r="G51" s="20">
        <f>+IQR_results_usd!G51*FXs!$C$7</f>
        <v>16677.38</v>
      </c>
      <c r="H51" s="20">
        <f>+IQR_results_usd!H51*FXs!$C$8</f>
        <v>30165.547999999999</v>
      </c>
      <c r="I51" s="20">
        <f>+IQR_results_usd!I51*FXs!$C$9</f>
        <v>82512.491999999998</v>
      </c>
      <c r="J51" s="20">
        <f>+IQR_results_usd!J51*FXs!$C$10</f>
        <v>160412.087</v>
      </c>
      <c r="K51" s="20">
        <f>+IQR_results_usd!K51*FXs!$C$11</f>
        <v>121947.40300000001</v>
      </c>
    </row>
    <row r="52" spans="1:11">
      <c r="A52" s="6" t="s">
        <v>50</v>
      </c>
      <c r="B52" s="20">
        <f>+IQR_results_usd!B52*FXs!$C$2</f>
        <v>3631.7310000000007</v>
      </c>
      <c r="C52" s="20">
        <f>+IQR_results_usd!C52*FXs!$C$3</f>
        <v>3760.8300000000004</v>
      </c>
      <c r="D52" s="20">
        <f>+IQR_results_usd!D52*FXs!$C$4</f>
        <v>4152.6059999999998</v>
      </c>
      <c r="E52" s="20">
        <f>+IQR_results_usd!E52*FXs!$C$5</f>
        <v>3459.4340000000002</v>
      </c>
      <c r="F52" s="20">
        <f>+IQR_results_usd!F52*FXs!$C$6</f>
        <v>1624.3440000000001</v>
      </c>
      <c r="G52" s="20">
        <f>+IQR_results_usd!G52*FXs!$C$7</f>
        <v>0</v>
      </c>
      <c r="H52" s="20">
        <f>+IQR_results_usd!H52*FXs!$C$8</f>
        <v>0</v>
      </c>
      <c r="I52" s="20">
        <f>+IQR_results_usd!I52*FXs!$C$9</f>
        <v>61085.561000000002</v>
      </c>
      <c r="J52" s="20">
        <f>+IQR_results_usd!J52*FXs!$C$10</f>
        <v>289147.12572013383</v>
      </c>
      <c r="K52" s="20">
        <f>+IQR_results_usd!K52*FXs!$C$11</f>
        <v>338161.65499999997</v>
      </c>
    </row>
    <row r="53" spans="1:11">
      <c r="A53" s="5" t="s">
        <v>51</v>
      </c>
      <c r="B53" s="20">
        <f>+IQR_results_usd!B53*FXs!$C$2</f>
        <v>6505.1310000000003</v>
      </c>
      <c r="C53" s="20">
        <f>+IQR_results_usd!C53*FXs!$C$3</f>
        <v>5379.2359999999999</v>
      </c>
      <c r="D53" s="20">
        <f>+IQR_results_usd!D53*FXs!$C$4</f>
        <v>6250.56</v>
      </c>
      <c r="E53" s="20">
        <f>+IQR_results_usd!E53*FXs!$C$5</f>
        <v>9277.8169999999991</v>
      </c>
      <c r="F53" s="20">
        <f>+IQR_results_usd!F53*FXs!$C$6</f>
        <v>12344.097000000002</v>
      </c>
      <c r="G53" s="20">
        <f>+IQR_results_usd!G53*FXs!$C$7</f>
        <v>13830.125</v>
      </c>
      <c r="H53" s="20">
        <f>+IQR_results_usd!H53*FXs!$C$8</f>
        <v>17265.217000000001</v>
      </c>
      <c r="I53" s="20">
        <f>+IQR_results_usd!I53*FXs!$C$9</f>
        <v>96307.625</v>
      </c>
      <c r="J53" s="20">
        <f>+IQR_results_usd!J53*FXs!$C$10</f>
        <v>370504.48971811082</v>
      </c>
      <c r="K53" s="20">
        <f>+IQR_results_usd!K53*FXs!$C$11</f>
        <v>230425.856</v>
      </c>
    </row>
    <row r="54" spans="1:11">
      <c r="A54" s="6" t="s">
        <v>52</v>
      </c>
      <c r="B54" s="20">
        <f>+IQR_results_usd!B54*FXs!$C$2</f>
        <v>0</v>
      </c>
      <c r="C54" s="20">
        <f>+IQR_results_usd!C54*FXs!$C$3</f>
        <v>0</v>
      </c>
      <c r="D54" s="20">
        <f>+IQR_results_usd!D54*FXs!$C$4</f>
        <v>0</v>
      </c>
      <c r="E54" s="20">
        <f>+IQR_results_usd!E54*FXs!$C$5</f>
        <v>0</v>
      </c>
      <c r="F54" s="20">
        <f>+IQR_results_usd!F54*FXs!$C$6</f>
        <v>0</v>
      </c>
      <c r="G54" s="20">
        <f>+IQR_results_usd!G54*FXs!$C$7</f>
        <v>0</v>
      </c>
      <c r="H54" s="20">
        <f>+IQR_results_usd!H54*FXs!$C$8</f>
        <v>0</v>
      </c>
      <c r="I54" s="20">
        <f>+IQR_results_usd!I54*FXs!$C$9</f>
        <v>0</v>
      </c>
      <c r="J54" s="20">
        <f>+IQR_results_usd!J54*FXs!$C$10</f>
        <v>0</v>
      </c>
      <c r="K54" s="20">
        <f>+IQR_results_usd!K54*FXs!$C$11</f>
        <v>0</v>
      </c>
    </row>
    <row r="55" spans="1:11">
      <c r="A55" s="5" t="s">
        <v>53</v>
      </c>
      <c r="B55" s="20">
        <f>+IQR_results_usd!B55*FXs!$C$2</f>
        <v>4325.9620000000004</v>
      </c>
      <c r="C55" s="20">
        <f>+IQR_results_usd!C55*FXs!$C$3</f>
        <v>5259.34</v>
      </c>
      <c r="D55" s="20">
        <f>+IQR_results_usd!D55*FXs!$C$4</f>
        <v>9137.6859999999997</v>
      </c>
      <c r="E55" s="20">
        <f>+IQR_results_usd!E55*FXs!$C$5</f>
        <v>13886.013999999999</v>
      </c>
      <c r="F55" s="20">
        <f>+IQR_results_usd!F55*FXs!$C$6</f>
        <v>19320.137999999999</v>
      </c>
      <c r="G55" s="20">
        <f>+IQR_results_usd!G55*FXs!$C$7</f>
        <v>21138.776999999998</v>
      </c>
      <c r="H55" s="20">
        <f>+IQR_results_usd!H55*FXs!$C$8</f>
        <v>57656.905000000006</v>
      </c>
      <c r="I55" s="20">
        <f>+IQR_results_usd!I55*FXs!$C$9</f>
        <v>354055.32867799647</v>
      </c>
      <c r="J55" s="20">
        <f>+IQR_results_usd!J55*FXs!$C$10</f>
        <v>526988.56200000003</v>
      </c>
      <c r="K55" s="20">
        <f>+IQR_results_usd!K55*FXs!$C$11</f>
        <v>256446.698</v>
      </c>
    </row>
    <row r="56" spans="1:11">
      <c r="A56" s="7" t="s">
        <v>54</v>
      </c>
      <c r="B56" s="20">
        <f>+IQR_results_usd!B56*FXs!$C$2</f>
        <v>22651.633000000002</v>
      </c>
      <c r="C56" s="20">
        <f>+IQR_results_usd!C56*FXs!$C$3</f>
        <v>23684.995999999999</v>
      </c>
      <c r="D56" s="20">
        <f>+IQR_results_usd!D56*FXs!$C$4</f>
        <v>31016.345999999998</v>
      </c>
      <c r="E56" s="20">
        <f>+IQR_results_usd!E56*FXs!$C$5</f>
        <v>44794.082999999999</v>
      </c>
      <c r="F56" s="20">
        <f>+IQR_results_usd!F56*FXs!$C$6</f>
        <v>53423.095999999998</v>
      </c>
      <c r="G56" s="20">
        <f>+IQR_results_usd!G56*FXs!$C$7</f>
        <v>51646.281999999999</v>
      </c>
      <c r="H56" s="20">
        <f>+IQR_results_usd!H56*FXs!$C$8</f>
        <v>105087.67</v>
      </c>
      <c r="I56" s="20">
        <f>+IQR_results_usd!I56*FXs!$C$9</f>
        <v>610874.86</v>
      </c>
      <c r="J56" s="20">
        <f>+IQR_results_usd!J56*FXs!$C$10</f>
        <v>1453126.1830000002</v>
      </c>
      <c r="K56" s="20">
        <f>+IQR_results_usd!K56*FXs!$C$11</f>
        <v>946981.61199999996</v>
      </c>
    </row>
    <row r="57" spans="1:11">
      <c r="A57" s="5" t="s">
        <v>55</v>
      </c>
      <c r="B57" s="20">
        <f>+IQR_results_usd!B57*FXs!$C$2</f>
        <v>0</v>
      </c>
      <c r="C57" s="20">
        <f>+IQR_results_usd!C57*FXs!$C$3</f>
        <v>0</v>
      </c>
      <c r="D57" s="20">
        <f>+IQR_results_usd!D57*FXs!$C$4</f>
        <v>0</v>
      </c>
      <c r="E57" s="20">
        <f>+IQR_results_usd!E57*FXs!$C$5</f>
        <v>0</v>
      </c>
      <c r="F57" s="20">
        <f>+IQR_results_usd!F57*FXs!$C$6</f>
        <v>0</v>
      </c>
      <c r="G57" s="20">
        <f>+IQR_results_usd!G57*FXs!$C$7</f>
        <v>0</v>
      </c>
      <c r="H57" s="20">
        <f>+IQR_results_usd!H57*FXs!$C$8</f>
        <v>0</v>
      </c>
      <c r="I57" s="20">
        <f>+IQR_results_usd!I57*FXs!$C$9</f>
        <v>0</v>
      </c>
      <c r="J57" s="20">
        <f>+IQR_results_usd!J57*FXs!$C$10</f>
        <v>0</v>
      </c>
      <c r="K57" s="20">
        <f>+IQR_results_usd!K57*FXs!$C$11</f>
        <v>0</v>
      </c>
    </row>
    <row r="58" spans="1:11">
      <c r="A58" s="6" t="s">
        <v>56</v>
      </c>
      <c r="B58" s="20">
        <f>+IQR_results_usd!B58*FXs!$C$2</f>
        <v>0</v>
      </c>
      <c r="C58" s="20">
        <f>+IQR_results_usd!C58*FXs!$C$3</f>
        <v>0</v>
      </c>
      <c r="D58" s="20">
        <f>+IQR_results_usd!D58*FXs!$C$4</f>
        <v>0</v>
      </c>
      <c r="E58" s="20">
        <f>+IQR_results_usd!E58*FXs!$C$5</f>
        <v>0</v>
      </c>
      <c r="F58" s="20">
        <f>+IQR_results_usd!F58*FXs!$C$6</f>
        <v>0</v>
      </c>
      <c r="G58" s="20">
        <f>+IQR_results_usd!G58*FXs!$C$7</f>
        <v>0</v>
      </c>
      <c r="H58" s="20">
        <f>+IQR_results_usd!H58*FXs!$C$8</f>
        <v>0</v>
      </c>
      <c r="I58" s="20">
        <f>+IQR_results_usd!I58*FXs!$C$9</f>
        <v>0</v>
      </c>
      <c r="J58" s="20">
        <f>+IQR_results_usd!J58*FXs!$C$10</f>
        <v>0</v>
      </c>
      <c r="K58" s="20">
        <f>+IQR_results_usd!K58*FXs!$C$11</f>
        <v>0</v>
      </c>
    </row>
    <row r="59" spans="1:11">
      <c r="A59" s="5" t="s">
        <v>57</v>
      </c>
      <c r="B59" s="20">
        <f>+IQR_results_usd!B59*FXs!$C$2</f>
        <v>0</v>
      </c>
      <c r="C59" s="20">
        <f>+IQR_results_usd!C59*FXs!$C$3</f>
        <v>0</v>
      </c>
      <c r="D59" s="20">
        <f>+IQR_results_usd!D59*FXs!$C$4</f>
        <v>0</v>
      </c>
      <c r="E59" s="20">
        <f>+IQR_results_usd!E59*FXs!$C$5</f>
        <v>0</v>
      </c>
      <c r="F59" s="20">
        <f>+IQR_results_usd!F59*FXs!$C$6</f>
        <v>0</v>
      </c>
      <c r="G59" s="20">
        <f>+IQR_results_usd!G59*FXs!$C$7</f>
        <v>0</v>
      </c>
      <c r="H59" s="20">
        <f>+IQR_results_usd!H59*FXs!$C$8</f>
        <v>0</v>
      </c>
      <c r="I59" s="20">
        <f>+IQR_results_usd!I59*FXs!$C$9</f>
        <v>0</v>
      </c>
      <c r="J59" s="20">
        <f>+IQR_results_usd!J59*FXs!$C$10</f>
        <v>0</v>
      </c>
      <c r="K59" s="20">
        <f>+IQR_results_usd!K59*FXs!$C$11</f>
        <v>0</v>
      </c>
    </row>
    <row r="60" spans="1:11">
      <c r="A60" s="6" t="s">
        <v>58</v>
      </c>
      <c r="B60" s="20">
        <f>+IQR_results_usd!B60*FXs!$C$2</f>
        <v>0</v>
      </c>
      <c r="C60" s="20">
        <f>+IQR_results_usd!C60*FXs!$C$3</f>
        <v>0</v>
      </c>
      <c r="D60" s="20">
        <f>+IQR_results_usd!D60*FXs!$C$4</f>
        <v>0</v>
      </c>
      <c r="E60" s="20">
        <f>+IQR_results_usd!E60*FXs!$C$5</f>
        <v>0</v>
      </c>
      <c r="F60" s="20">
        <f>+IQR_results_usd!F60*FXs!$C$6</f>
        <v>0</v>
      </c>
      <c r="G60" s="20">
        <f>+IQR_results_usd!G60*FXs!$C$7</f>
        <v>0</v>
      </c>
      <c r="H60" s="20">
        <f>+IQR_results_usd!H60*FXs!$C$8</f>
        <v>0</v>
      </c>
      <c r="I60" s="20">
        <f>+IQR_results_usd!I60*FXs!$C$9</f>
        <v>0</v>
      </c>
      <c r="J60" s="20">
        <f>+IQR_results_usd!J60*FXs!$C$10</f>
        <v>0</v>
      </c>
      <c r="K60" s="20">
        <f>+IQR_results_usd!K60*FXs!$C$11</f>
        <v>0</v>
      </c>
    </row>
    <row r="61" spans="1:11">
      <c r="A61" s="5" t="s">
        <v>59</v>
      </c>
      <c r="B61" s="20">
        <f>+IQR_results_usd!B61*FXs!$C$2</f>
        <v>0</v>
      </c>
      <c r="C61" s="20">
        <f>+IQR_results_usd!C61*FXs!$C$3</f>
        <v>0</v>
      </c>
      <c r="D61" s="20">
        <f>+IQR_results_usd!D61*FXs!$C$4</f>
        <v>0</v>
      </c>
      <c r="E61" s="20">
        <f>+IQR_results_usd!E61*FXs!$C$5</f>
        <v>0</v>
      </c>
      <c r="F61" s="20">
        <f>+IQR_results_usd!F61*FXs!$C$6</f>
        <v>0</v>
      </c>
      <c r="G61" s="20">
        <f>+IQR_results_usd!G61*FXs!$C$7</f>
        <v>0</v>
      </c>
      <c r="H61" s="20">
        <f>+IQR_results_usd!H61*FXs!$C$8</f>
        <v>0</v>
      </c>
      <c r="I61" s="20">
        <f>+IQR_results_usd!I61*FXs!$C$9</f>
        <v>0</v>
      </c>
      <c r="J61" s="20">
        <f>+IQR_results_usd!J61*FXs!$C$10</f>
        <v>0</v>
      </c>
      <c r="K61" s="20">
        <f>+IQR_results_usd!K61*FXs!$C$11</f>
        <v>0</v>
      </c>
    </row>
    <row r="62" spans="1:11">
      <c r="A62" s="6" t="s">
        <v>60</v>
      </c>
      <c r="B62" s="20">
        <f>+IQR_results_usd!B62*FXs!$C$2</f>
        <v>0</v>
      </c>
      <c r="C62" s="20">
        <f>+IQR_results_usd!C62*FXs!$C$3</f>
        <v>0</v>
      </c>
      <c r="D62" s="20">
        <f>+IQR_results_usd!D62*FXs!$C$4</f>
        <v>0</v>
      </c>
      <c r="E62" s="20">
        <f>+IQR_results_usd!E62*FXs!$C$5</f>
        <v>0</v>
      </c>
      <c r="F62" s="20">
        <f>+IQR_results_usd!F62*FXs!$C$6</f>
        <v>0</v>
      </c>
      <c r="G62" s="20">
        <f>+IQR_results_usd!G62*FXs!$C$7</f>
        <v>0</v>
      </c>
      <c r="H62" s="20">
        <f>+IQR_results_usd!H62*FXs!$C$8</f>
        <v>0</v>
      </c>
      <c r="I62" s="20">
        <f>+IQR_results_usd!I62*FXs!$C$9</f>
        <v>0</v>
      </c>
      <c r="J62" s="20">
        <f>+IQR_results_usd!J62*FXs!$C$10</f>
        <v>0</v>
      </c>
      <c r="K62" s="20">
        <f>+IQR_results_usd!K62*FXs!$C$11</f>
        <v>0</v>
      </c>
    </row>
    <row r="63" spans="1:11">
      <c r="A63" s="5" t="s">
        <v>61</v>
      </c>
      <c r="B63" s="20">
        <f>+IQR_results_usd!B63*FXs!$C$2</f>
        <v>0</v>
      </c>
      <c r="C63" s="20">
        <f>+IQR_results_usd!C63*FXs!$C$3</f>
        <v>0</v>
      </c>
      <c r="D63" s="20">
        <f>+IQR_results_usd!D63*FXs!$C$4</f>
        <v>0</v>
      </c>
      <c r="E63" s="20">
        <f>+IQR_results_usd!E63*FXs!$C$5</f>
        <v>0</v>
      </c>
      <c r="F63" s="20">
        <f>+IQR_results_usd!F63*FXs!$C$6</f>
        <v>0</v>
      </c>
      <c r="G63" s="20">
        <f>+IQR_results_usd!G63*FXs!$C$7</f>
        <v>0</v>
      </c>
      <c r="H63" s="20">
        <f>+IQR_results_usd!H63*FXs!$C$8</f>
        <v>0</v>
      </c>
      <c r="I63" s="20">
        <f>+IQR_results_usd!I63*FXs!$C$9</f>
        <v>0</v>
      </c>
      <c r="J63" s="20">
        <f>+IQR_results_usd!J63*FXs!$C$10</f>
        <v>0</v>
      </c>
      <c r="K63" s="20">
        <f>+IQR_results_usd!K63*FXs!$C$11</f>
        <v>0</v>
      </c>
    </row>
    <row r="64" spans="1:11">
      <c r="A64" s="6" t="s">
        <v>62</v>
      </c>
      <c r="B64" s="20">
        <f>+IQR_results_usd!B64*FXs!$C$2</f>
        <v>0</v>
      </c>
      <c r="C64" s="20">
        <f>+IQR_results_usd!C64*FXs!$C$3</f>
        <v>0</v>
      </c>
      <c r="D64" s="20">
        <f>+IQR_results_usd!D64*FXs!$C$4</f>
        <v>0</v>
      </c>
      <c r="E64" s="20">
        <f>+IQR_results_usd!E64*FXs!$C$5</f>
        <v>0</v>
      </c>
      <c r="F64" s="20">
        <f>+IQR_results_usd!F64*FXs!$C$6</f>
        <v>0</v>
      </c>
      <c r="G64" s="20">
        <f>+IQR_results_usd!G64*FXs!$C$7</f>
        <v>0</v>
      </c>
      <c r="H64" s="20">
        <f>+IQR_results_usd!H64*FXs!$C$8</f>
        <v>0</v>
      </c>
      <c r="I64" s="20">
        <f>+IQR_results_usd!I64*FXs!$C$9</f>
        <v>0</v>
      </c>
      <c r="J64" s="20">
        <f>+IQR_results_usd!J64*FXs!$C$10</f>
        <v>0</v>
      </c>
      <c r="K64" s="20">
        <f>+IQR_results_usd!K64*FXs!$C$11</f>
        <v>0</v>
      </c>
    </row>
    <row r="65" spans="1:11">
      <c r="A65" s="5" t="s">
        <v>63</v>
      </c>
      <c r="B65" s="20">
        <f>+IQR_results_usd!B65*FXs!$C$2</f>
        <v>5085.0240000000003</v>
      </c>
      <c r="C65" s="20">
        <f>+IQR_results_usd!C65*FXs!$C$3</f>
        <v>5342.5739999999996</v>
      </c>
      <c r="D65" s="20">
        <f>+IQR_results_usd!D65*FXs!$C$4</f>
        <v>8909.6820000000007</v>
      </c>
      <c r="E65" s="20">
        <f>+IQR_results_usd!E65*FXs!$C$5</f>
        <v>8927.35</v>
      </c>
      <c r="F65" s="20">
        <f>+IQR_results_usd!F65*FXs!$C$6</f>
        <v>12011.114</v>
      </c>
      <c r="G65" s="20">
        <f>+IQR_results_usd!G65*FXs!$C$7</f>
        <v>23050.474999999999</v>
      </c>
      <c r="H65" s="20">
        <f>+IQR_results_usd!H65*FXs!$C$8</f>
        <v>19066.82</v>
      </c>
      <c r="I65" s="20">
        <f>+IQR_results_usd!I65*FXs!$C$9</f>
        <v>50807.63</v>
      </c>
      <c r="J65" s="20">
        <f>+IQR_results_usd!J65*FXs!$C$10</f>
        <v>72914.236000000004</v>
      </c>
      <c r="K65" s="20">
        <f>+IQR_results_usd!K65*FXs!$C$11</f>
        <v>105966.15</v>
      </c>
    </row>
    <row r="66" spans="1:11">
      <c r="A66" s="6" t="s">
        <v>64</v>
      </c>
      <c r="B66" s="20">
        <f>+IQR_results_usd!B66*FXs!$C$2</f>
        <v>0</v>
      </c>
      <c r="C66" s="20">
        <f>+IQR_results_usd!C66*FXs!$C$3</f>
        <v>0</v>
      </c>
      <c r="D66" s="20">
        <f>+IQR_results_usd!D66*FXs!$C$4</f>
        <v>0</v>
      </c>
      <c r="E66" s="20">
        <f>+IQR_results_usd!E66*FXs!$C$5</f>
        <v>0</v>
      </c>
      <c r="F66" s="20">
        <f>+IQR_results_usd!F66*FXs!$C$6</f>
        <v>0</v>
      </c>
      <c r="G66" s="20">
        <f>+IQR_results_usd!G66*FXs!$C$7</f>
        <v>0</v>
      </c>
      <c r="H66" s="20">
        <f>+IQR_results_usd!H66*FXs!$C$8</f>
        <v>0</v>
      </c>
      <c r="I66" s="20">
        <f>+IQR_results_usd!I66*FXs!$C$9</f>
        <v>0</v>
      </c>
      <c r="J66" s="20">
        <f>+IQR_results_usd!J66*FXs!$C$10</f>
        <v>0</v>
      </c>
      <c r="K66" s="20">
        <f>+IQR_results_usd!K66*FXs!$C$11</f>
        <v>0</v>
      </c>
    </row>
    <row r="67" spans="1:11">
      <c r="A67" s="5" t="s">
        <v>65</v>
      </c>
      <c r="B67" s="20">
        <f>+IQR_results_usd!B67*FXs!$C$2</f>
        <v>489.49</v>
      </c>
      <c r="C67" s="20">
        <f>+IQR_results_usd!C67*FXs!$C$3</f>
        <v>42053.057000000001</v>
      </c>
      <c r="D67" s="20">
        <f>+IQR_results_usd!D67*FXs!$C$4</f>
        <v>9450.7119999999995</v>
      </c>
      <c r="E67" s="20">
        <f>+IQR_results_usd!E67*FXs!$C$5</f>
        <v>1701.4259999999999</v>
      </c>
      <c r="F67" s="20">
        <f>+IQR_results_usd!F67*FXs!$C$6</f>
        <v>7443.8610000000008</v>
      </c>
      <c r="G67" s="20">
        <f>+IQR_results_usd!G67*FXs!$C$7</f>
        <v>2058.6439999999998</v>
      </c>
      <c r="H67" s="20">
        <f>+IQR_results_usd!H67*FXs!$C$8</f>
        <v>3778.442</v>
      </c>
      <c r="I67" s="20">
        <f>+IQR_results_usd!I67*FXs!$C$9</f>
        <v>70971.119000000006</v>
      </c>
      <c r="J67" s="20">
        <f>+IQR_results_usd!J67*FXs!$C$10</f>
        <v>115595.523</v>
      </c>
      <c r="K67" s="20">
        <f>+IQR_results_usd!K67*FXs!$C$11</f>
        <v>136131.58799999999</v>
      </c>
    </row>
    <row r="68" spans="1:11">
      <c r="A68" s="6" t="s">
        <v>66</v>
      </c>
      <c r="B68" s="20">
        <f>+IQR_results_usd!B68*FXs!$C$2</f>
        <v>0</v>
      </c>
      <c r="C68" s="20">
        <f>+IQR_results_usd!C68*FXs!$C$3</f>
        <v>0</v>
      </c>
      <c r="D68" s="20">
        <f>+IQR_results_usd!D68*FXs!$C$4</f>
        <v>24.184000000000001</v>
      </c>
      <c r="E68" s="20">
        <f>+IQR_results_usd!E68*FXs!$C$5</f>
        <v>0</v>
      </c>
      <c r="F68" s="20">
        <f>+IQR_results_usd!F68*FXs!$C$6</f>
        <v>0</v>
      </c>
      <c r="G68" s="20">
        <f>+IQR_results_usd!G68*FXs!$C$7</f>
        <v>24.547000000000001</v>
      </c>
      <c r="H68" s="20">
        <f>+IQR_results_usd!H68*FXs!$C$8</f>
        <v>0</v>
      </c>
      <c r="I68" s="20">
        <f>+IQR_results_usd!I68*FXs!$C$9</f>
        <v>45.347000000000001</v>
      </c>
      <c r="J68" s="20">
        <f>+IQR_results_usd!J68*FXs!$C$10</f>
        <v>240.34899999999999</v>
      </c>
      <c r="K68" s="20">
        <f>+IQR_results_usd!K68*FXs!$C$11</f>
        <v>245.01499999999999</v>
      </c>
    </row>
    <row r="69" spans="1:11">
      <c r="A69" s="5" t="s">
        <v>67</v>
      </c>
      <c r="B69" s="20">
        <f>+IQR_results_usd!B69*FXs!$C$2</f>
        <v>27411.154999999999</v>
      </c>
      <c r="C69" s="20">
        <f>+IQR_results_usd!C69*FXs!$C$3</f>
        <v>41524.464999999997</v>
      </c>
      <c r="D69" s="20">
        <f>+IQR_results_usd!D69*FXs!$C$4</f>
        <v>54817.366000000002</v>
      </c>
      <c r="E69" s="20">
        <f>+IQR_results_usd!E69*FXs!$C$5</f>
        <v>75097.892999999996</v>
      </c>
      <c r="F69" s="20">
        <f>+IQR_results_usd!F69*FXs!$C$6</f>
        <v>57471.152000000002</v>
      </c>
      <c r="G69" s="20">
        <f>+IQR_results_usd!G69*FXs!$C$7</f>
        <v>74023.198999999993</v>
      </c>
      <c r="H69" s="20">
        <f>+IQR_results_usd!H69*FXs!$C$8</f>
        <v>107582.061</v>
      </c>
      <c r="I69" s="20">
        <f>+IQR_results_usd!I69*FXs!$C$9</f>
        <v>463144.05099999998</v>
      </c>
      <c r="J69" s="20">
        <f>+IQR_results_usd!J69*FXs!$C$10</f>
        <v>386475.46299999999</v>
      </c>
      <c r="K69" s="20">
        <f>+IQR_results_usd!K69*FXs!$C$11</f>
        <v>975161.02315290843</v>
      </c>
    </row>
    <row r="70" spans="1:11">
      <c r="A70" s="6" t="s">
        <v>68</v>
      </c>
      <c r="B70" s="20">
        <f>+IQR_results_usd!B70*FXs!$C$2</f>
        <v>0</v>
      </c>
      <c r="C70" s="20">
        <f>+IQR_results_usd!C70*FXs!$C$3</f>
        <v>0</v>
      </c>
      <c r="D70" s="20">
        <f>+IQR_results_usd!D70*FXs!$C$4</f>
        <v>0</v>
      </c>
      <c r="E70" s="20">
        <f>+IQR_results_usd!E70*FXs!$C$5</f>
        <v>4139.1549999999997</v>
      </c>
      <c r="F70" s="20">
        <f>+IQR_results_usd!F70*FXs!$C$6</f>
        <v>4911.0020000000004</v>
      </c>
      <c r="G70" s="20">
        <f>+IQR_results_usd!G70*FXs!$C$7</f>
        <v>7718.5829999999996</v>
      </c>
      <c r="H70" s="20">
        <f>+IQR_results_usd!H70*FXs!$C$8</f>
        <v>20724.967000000001</v>
      </c>
      <c r="I70" s="20">
        <f>+IQR_results_usd!I70*FXs!$C$9</f>
        <v>34596.97</v>
      </c>
      <c r="J70" s="20">
        <f>+IQR_results_usd!J70*FXs!$C$10</f>
        <v>67052.929999999993</v>
      </c>
      <c r="K70" s="20">
        <f>+IQR_results_usd!K70*FXs!$C$11</f>
        <v>75547.914999999994</v>
      </c>
    </row>
    <row r="71" spans="1:11">
      <c r="A71" s="7" t="s">
        <v>69</v>
      </c>
      <c r="B71" s="20">
        <f>+IQR_results_usd!B71*FXs!$C$2</f>
        <v>27411.154999999999</v>
      </c>
      <c r="C71" s="20">
        <f>+IQR_results_usd!C71*FXs!$C$3</f>
        <v>41524.464999999997</v>
      </c>
      <c r="D71" s="20">
        <f>+IQR_results_usd!D71*FXs!$C$4</f>
        <v>54817.366000000002</v>
      </c>
      <c r="E71" s="20">
        <f>+IQR_results_usd!E71*FXs!$C$5</f>
        <v>70958.737999999998</v>
      </c>
      <c r="F71" s="20">
        <f>+IQR_results_usd!F71*FXs!$C$6</f>
        <v>52560.15</v>
      </c>
      <c r="G71" s="20">
        <f>+IQR_results_usd!G71*FXs!$C$7</f>
        <v>66304.615999999995</v>
      </c>
      <c r="H71" s="20">
        <f>+IQR_results_usd!H71*FXs!$C$8</f>
        <v>86857.093999999997</v>
      </c>
      <c r="I71" s="20">
        <f>+IQR_results_usd!I71*FXs!$C$9</f>
        <v>428547.08099999995</v>
      </c>
      <c r="J71" s="20">
        <f>+IQR_results_usd!J71*FXs!$C$10</f>
        <v>319422.533</v>
      </c>
      <c r="K71" s="20">
        <f>+IQR_results_usd!K71*FXs!$C$11</f>
        <v>976849.73900000006</v>
      </c>
    </row>
    <row r="72" spans="1:11">
      <c r="A72" s="6" t="s">
        <v>70</v>
      </c>
      <c r="B72" s="20">
        <f>+IQR_results_usd!B72*FXs!$C$2</f>
        <v>0</v>
      </c>
      <c r="C72" s="20">
        <f>+IQR_results_usd!C72*FXs!$C$3</f>
        <v>0</v>
      </c>
      <c r="D72" s="20">
        <f>+IQR_results_usd!D72*FXs!$C$4</f>
        <v>0</v>
      </c>
      <c r="E72" s="20">
        <f>+IQR_results_usd!E72*FXs!$C$5</f>
        <v>0</v>
      </c>
      <c r="F72" s="20">
        <f>+IQR_results_usd!F72*FXs!$C$6</f>
        <v>0</v>
      </c>
      <c r="G72" s="20">
        <f>+IQR_results_usd!G72*FXs!$C$7</f>
        <v>0</v>
      </c>
      <c r="H72" s="20">
        <f>+IQR_results_usd!H72*FXs!$C$8</f>
        <v>0</v>
      </c>
      <c r="I72" s="20">
        <f>+IQR_results_usd!I72*FXs!$C$9</f>
        <v>0</v>
      </c>
      <c r="J72" s="20">
        <f>+IQR_results_usd!J72*FXs!$C$10</f>
        <v>0</v>
      </c>
      <c r="K72" s="20">
        <f>+IQR_results_usd!K72*FXs!$C$11</f>
        <v>0</v>
      </c>
    </row>
    <row r="73" spans="1:11">
      <c r="A73" s="5" t="s">
        <v>71</v>
      </c>
      <c r="B73" s="20">
        <f>+IQR_results_usd!B73*FXs!$C$2</f>
        <v>0</v>
      </c>
      <c r="C73" s="20">
        <f>+IQR_results_usd!C73*FXs!$C$3</f>
        <v>36024.807999999997</v>
      </c>
      <c r="D73" s="20">
        <f>+IQR_results_usd!D73*FXs!$C$4</f>
        <v>64114.994999999995</v>
      </c>
      <c r="E73" s="20">
        <f>+IQR_results_usd!E73*FXs!$C$5</f>
        <v>14729.85</v>
      </c>
      <c r="F73" s="20">
        <f>+IQR_results_usd!F73*FXs!$C$6</f>
        <v>19531.399000000001</v>
      </c>
      <c r="G73" s="20">
        <f>+IQR_results_usd!G73*FXs!$C$7</f>
        <v>85507.247000000003</v>
      </c>
      <c r="H73" s="20">
        <f>+IQR_results_usd!H73*FXs!$C$8</f>
        <v>15886.799000000003</v>
      </c>
      <c r="I73" s="20">
        <f>+IQR_results_usd!I73*FXs!$C$9</f>
        <v>165508.36300000001</v>
      </c>
      <c r="J73" s="20">
        <f>+IQR_results_usd!J73*FXs!$C$10</f>
        <v>281208.97100000002</v>
      </c>
      <c r="K73" s="20">
        <f>+IQR_results_usd!K73*FXs!$C$11</f>
        <v>1214434.3510115584</v>
      </c>
    </row>
    <row r="74" spans="1:11">
      <c r="A74" s="6" t="s">
        <v>72</v>
      </c>
      <c r="B74" s="20">
        <f>+IQR_results_usd!B74*FXs!$C$2</f>
        <v>0</v>
      </c>
      <c r="C74" s="20">
        <f>+IQR_results_usd!C74*FXs!$C$3</f>
        <v>0</v>
      </c>
      <c r="D74" s="20">
        <f>+IQR_results_usd!D74*FXs!$C$4</f>
        <v>248.357</v>
      </c>
      <c r="E74" s="20">
        <f>+IQR_results_usd!E74*FXs!$C$5</f>
        <v>0</v>
      </c>
      <c r="F74" s="20">
        <f>+IQR_results_usd!F74*FXs!$C$6</f>
        <v>0</v>
      </c>
      <c r="G74" s="20">
        <f>+IQR_results_usd!G74*FXs!$C$7</f>
        <v>0</v>
      </c>
      <c r="H74" s="20">
        <f>+IQR_results_usd!H74*FXs!$C$8</f>
        <v>0</v>
      </c>
      <c r="I74" s="20">
        <f>+IQR_results_usd!I74*FXs!$C$9</f>
        <v>3608.8695415708412</v>
      </c>
      <c r="J74" s="20">
        <f>+IQR_results_usd!J74*FXs!$C$10</f>
        <v>0</v>
      </c>
      <c r="K74" s="20">
        <f>+IQR_results_usd!K74*FXs!$C$11</f>
        <v>6758.7893854823424</v>
      </c>
    </row>
    <row r="75" spans="1:11">
      <c r="A75" s="5" t="s">
        <v>73</v>
      </c>
      <c r="B75" s="20">
        <f>+IQR_results_usd!B75*FXs!$C$2</f>
        <v>49640.461999999992</v>
      </c>
      <c r="C75" s="20">
        <f>+IQR_results_usd!C75*FXs!$C$3</f>
        <v>25852.053</v>
      </c>
      <c r="D75" s="20">
        <f>+IQR_results_usd!D75*FXs!$C$4</f>
        <v>18799.895</v>
      </c>
      <c r="E75" s="20">
        <f>+IQR_results_usd!E75*FXs!$C$5</f>
        <v>85400.067999999999</v>
      </c>
      <c r="F75" s="20">
        <f>+IQR_results_usd!F75*FXs!$C$6</f>
        <v>92971.48</v>
      </c>
      <c r="G75" s="20">
        <f>+IQR_results_usd!G75*FXs!$C$7</f>
        <v>209424.682</v>
      </c>
      <c r="H75" s="20">
        <f>+IQR_results_usd!H75*FXs!$C$8</f>
        <v>212602.22899999999</v>
      </c>
      <c r="I75" s="20">
        <f>+IQR_results_usd!I75*FXs!$C$9</f>
        <v>692775.40300000005</v>
      </c>
      <c r="J75" s="20">
        <f>+IQR_results_usd!J75*FXs!$C$10</f>
        <v>822355.60699999996</v>
      </c>
      <c r="K75" s="20">
        <f>+IQR_results_usd!K75*FXs!$C$11</f>
        <v>2262646.9435676103</v>
      </c>
    </row>
    <row r="76" spans="1:11">
      <c r="A76" s="6" t="s">
        <v>75</v>
      </c>
      <c r="B76" s="20">
        <f>+IQR_results_usd!B76*FXs!$C$2</f>
        <v>11000</v>
      </c>
      <c r="C76" s="20">
        <f>+IQR_results_usd!C76*FXs!$C$3</f>
        <v>100000</v>
      </c>
      <c r="D76" s="20">
        <f>+IQR_results_usd!D76*FXs!$C$4</f>
        <v>110000</v>
      </c>
      <c r="E76" s="20">
        <f>+IQR_results_usd!E76*FXs!$C$5</f>
        <v>110000</v>
      </c>
      <c r="F76" s="20">
        <f>+IQR_results_usd!F76*FXs!$C$6</f>
        <v>110000</v>
      </c>
      <c r="G76" s="20">
        <f>+IQR_results_usd!G76*FXs!$C$7</f>
        <v>110000</v>
      </c>
      <c r="H76" s="20">
        <f>+IQR_results_usd!H76*FXs!$C$8</f>
        <v>249999.89499999999</v>
      </c>
      <c r="I76" s="20">
        <f>+IQR_results_usd!I76*FXs!$C$9</f>
        <v>315000</v>
      </c>
      <c r="J76" s="20">
        <f>+IQR_results_usd!J76*FXs!$C$10</f>
        <v>315000</v>
      </c>
      <c r="K76" s="20">
        <f>+IQR_results_usd!K76*FXs!$C$11</f>
        <v>1000000</v>
      </c>
    </row>
    <row r="77" spans="1:11">
      <c r="A77" s="5" t="s">
        <v>76</v>
      </c>
      <c r="B77" s="20">
        <f>+IQR_results_usd!B77*FXs!$C$2</f>
        <v>0</v>
      </c>
      <c r="C77" s="20">
        <f>+IQR_results_usd!C77*FXs!$C$3</f>
        <v>0</v>
      </c>
      <c r="D77" s="20">
        <f>+IQR_results_usd!D77*FXs!$C$4</f>
        <v>0</v>
      </c>
      <c r="E77" s="20">
        <f>+IQR_results_usd!E77*FXs!$C$5</f>
        <v>0</v>
      </c>
      <c r="F77" s="20">
        <f>+IQR_results_usd!F77*FXs!$C$6</f>
        <v>0</v>
      </c>
      <c r="G77" s="20">
        <f>+IQR_results_usd!G77*FXs!$C$7</f>
        <v>0</v>
      </c>
      <c r="H77" s="20">
        <f>+IQR_results_usd!H77*FXs!$C$8</f>
        <v>0</v>
      </c>
      <c r="I77" s="20">
        <f>+IQR_results_usd!I77*FXs!$C$9</f>
        <v>0</v>
      </c>
      <c r="J77" s="20">
        <f>+IQR_results_usd!J77*FXs!$C$10</f>
        <v>0</v>
      </c>
      <c r="K77" s="20">
        <f>+IQR_results_usd!K77*FXs!$C$11</f>
        <v>0</v>
      </c>
    </row>
    <row r="78" spans="1:11">
      <c r="A78" s="6" t="s">
        <v>77</v>
      </c>
      <c r="B78" s="20">
        <f>+IQR_results_usd!B78*FXs!$C$2</f>
        <v>0</v>
      </c>
      <c r="C78" s="20">
        <f>+IQR_results_usd!C78*FXs!$C$3</f>
        <v>0</v>
      </c>
      <c r="D78" s="20">
        <f>+IQR_results_usd!D78*FXs!$C$4</f>
        <v>0</v>
      </c>
      <c r="E78" s="20">
        <f>+IQR_results_usd!E78*FXs!$C$5</f>
        <v>0</v>
      </c>
      <c r="F78" s="20">
        <f>+IQR_results_usd!F78*FXs!$C$6</f>
        <v>0</v>
      </c>
      <c r="G78" s="20">
        <f>+IQR_results_usd!G78*FXs!$C$7</f>
        <v>0</v>
      </c>
      <c r="H78" s="20">
        <f>+IQR_results_usd!H78*FXs!$C$8</f>
        <v>0</v>
      </c>
      <c r="I78" s="20">
        <f>+IQR_results_usd!I78*FXs!$C$9</f>
        <v>0</v>
      </c>
      <c r="J78" s="20">
        <f>+IQR_results_usd!J78*FXs!$C$10</f>
        <v>0</v>
      </c>
      <c r="K78" s="20">
        <f>+IQR_results_usd!K78*FXs!$C$11</f>
        <v>0</v>
      </c>
    </row>
    <row r="79" spans="1:11">
      <c r="A79" s="5" t="s">
        <v>78</v>
      </c>
      <c r="B79" s="20">
        <f>+IQR_results_usd!B79*FXs!$C$2</f>
        <v>0</v>
      </c>
      <c r="C79" s="20">
        <f>+IQR_results_usd!C79*FXs!$C$3</f>
        <v>0</v>
      </c>
      <c r="D79" s="20">
        <f>+IQR_results_usd!D79*FXs!$C$4</f>
        <v>0</v>
      </c>
      <c r="E79" s="20">
        <f>+IQR_results_usd!E79*FXs!$C$5</f>
        <v>0</v>
      </c>
      <c r="F79" s="20">
        <f>+IQR_results_usd!F79*FXs!$C$6</f>
        <v>0</v>
      </c>
      <c r="G79" s="20">
        <f>+IQR_results_usd!G79*FXs!$C$7</f>
        <v>0</v>
      </c>
      <c r="H79" s="20">
        <f>+IQR_results_usd!H79*FXs!$C$8</f>
        <v>0</v>
      </c>
      <c r="I79" s="20">
        <f>+IQR_results_usd!I79*FXs!$C$9</f>
        <v>0</v>
      </c>
      <c r="J79" s="20">
        <f>+IQR_results_usd!J79*FXs!$C$10</f>
        <v>0</v>
      </c>
      <c r="K79" s="20">
        <f>+IQR_results_usd!K79*FXs!$C$11</f>
        <v>0</v>
      </c>
    </row>
    <row r="80" spans="1:11">
      <c r="A80" s="6" t="s">
        <v>79</v>
      </c>
      <c r="B80" s="20">
        <f>+IQR_results_usd!B80*FXs!$C$2</f>
        <v>14632.387000000001</v>
      </c>
      <c r="C80" s="20">
        <f>+IQR_results_usd!C80*FXs!$C$3</f>
        <v>14415.212</v>
      </c>
      <c r="D80" s="20">
        <f>+IQR_results_usd!D80*FXs!$C$4</f>
        <v>10501.536</v>
      </c>
      <c r="E80" s="20">
        <f>+IQR_results_usd!E80*FXs!$C$5</f>
        <v>10879.715</v>
      </c>
      <c r="F80" s="20">
        <f>+IQR_results_usd!F80*FXs!$C$6</f>
        <v>15582.38</v>
      </c>
      <c r="G80" s="20">
        <f>+IQR_results_usd!G80*FXs!$C$7</f>
        <v>18842.763999999999</v>
      </c>
      <c r="H80" s="20">
        <f>+IQR_results_usd!H80*FXs!$C$8</f>
        <v>8945.5380000000005</v>
      </c>
      <c r="I80" s="20">
        <f>+IQR_results_usd!I80*FXs!$C$9</f>
        <v>113676.95399999998</v>
      </c>
      <c r="J80" s="20">
        <f>+IQR_results_usd!J80*FXs!$C$10</f>
        <v>430013.353</v>
      </c>
      <c r="K80" s="20">
        <f>+IQR_results_usd!K80*FXs!$C$11</f>
        <v>552231.14692353818</v>
      </c>
    </row>
    <row r="81" spans="1:11">
      <c r="A81" s="5" t="s">
        <v>80</v>
      </c>
      <c r="B81" s="20">
        <f>+IQR_results_usd!B81*FXs!$C$2</f>
        <v>0</v>
      </c>
      <c r="C81" s="20">
        <f>+IQR_results_usd!C81*FXs!$C$3</f>
        <v>0</v>
      </c>
      <c r="D81" s="20">
        <f>+IQR_results_usd!D81*FXs!$C$4</f>
        <v>0</v>
      </c>
      <c r="E81" s="20">
        <f>+IQR_results_usd!E81*FXs!$C$5</f>
        <v>0</v>
      </c>
      <c r="F81" s="20">
        <f>+IQR_results_usd!F81*FXs!$C$6</f>
        <v>0</v>
      </c>
      <c r="G81" s="20">
        <f>+IQR_results_usd!G81*FXs!$C$7</f>
        <v>0</v>
      </c>
      <c r="H81" s="20">
        <f>+IQR_results_usd!H81*FXs!$C$8</f>
        <v>0</v>
      </c>
      <c r="I81" s="20">
        <f>+IQR_results_usd!I81*FXs!$C$9</f>
        <v>0</v>
      </c>
      <c r="J81" s="20">
        <f>+IQR_results_usd!J81*FXs!$C$10</f>
        <v>0</v>
      </c>
      <c r="K81" s="20">
        <f>+IQR_results_usd!K81*FXs!$C$11</f>
        <v>0</v>
      </c>
    </row>
    <row r="82" spans="1:11">
      <c r="A82" s="7" t="s">
        <v>81</v>
      </c>
      <c r="B82" s="20">
        <f>+IQR_results_usd!B82*FXs!$C$2</f>
        <v>25632.387000000002</v>
      </c>
      <c r="C82" s="20">
        <f>+IQR_results_usd!C82*FXs!$C$3</f>
        <v>114415.212</v>
      </c>
      <c r="D82" s="20">
        <f>+IQR_results_usd!D82*FXs!$C$4</f>
        <v>120501.53599999999</v>
      </c>
      <c r="E82" s="20">
        <f>+IQR_results_usd!E82*FXs!$C$5</f>
        <v>120879.715</v>
      </c>
      <c r="F82" s="20">
        <f>+IQR_results_usd!F82*FXs!$C$6</f>
        <v>125582.38000000002</v>
      </c>
      <c r="G82" s="20">
        <f>+IQR_results_usd!G82*FXs!$C$7</f>
        <v>128842.76399999998</v>
      </c>
      <c r="H82" s="20">
        <f>+IQR_results_usd!H82*FXs!$C$8</f>
        <v>258945.43299999999</v>
      </c>
      <c r="I82" s="20">
        <f>+IQR_results_usd!I82*FXs!$C$9</f>
        <v>428676.95400000003</v>
      </c>
      <c r="J82" s="20">
        <f>+IQR_results_usd!J82*FXs!$C$10</f>
        <v>745013.353</v>
      </c>
      <c r="K82" s="20">
        <f>+IQR_results_usd!K82*FXs!$C$11</f>
        <v>2108971.3407302191</v>
      </c>
    </row>
    <row r="83" spans="1:11">
      <c r="A83" s="5" t="s">
        <v>82</v>
      </c>
      <c r="B83" s="20">
        <f>+IQR_results_usd!B83*FXs!$C$2</f>
        <v>0</v>
      </c>
      <c r="C83" s="20">
        <f>+IQR_results_usd!C83*FXs!$C$3</f>
        <v>0</v>
      </c>
      <c r="D83" s="20">
        <f>+IQR_results_usd!D83*FXs!$C$4</f>
        <v>0</v>
      </c>
      <c r="E83" s="20">
        <f>+IQR_results_usd!E83*FXs!$C$5</f>
        <v>0</v>
      </c>
      <c r="F83" s="20">
        <f>+IQR_results_usd!F83*FXs!$C$6</f>
        <v>0</v>
      </c>
      <c r="G83" s="20">
        <f>+IQR_results_usd!G83*FXs!$C$7</f>
        <v>0</v>
      </c>
      <c r="H83" s="20">
        <f>+IQR_results_usd!H83*FXs!$C$8</f>
        <v>0</v>
      </c>
      <c r="I83" s="20">
        <f>+IQR_results_usd!I83*FXs!$C$9</f>
        <v>0</v>
      </c>
      <c r="J83" s="20">
        <f>+IQR_results_usd!J83*FXs!$C$10</f>
        <v>0</v>
      </c>
      <c r="K83" s="20">
        <f>+IQR_results_usd!K83*FXs!$C$11</f>
        <v>0</v>
      </c>
    </row>
    <row r="84" spans="1:11">
      <c r="A84" s="6" t="s">
        <v>83</v>
      </c>
      <c r="B84" s="20">
        <f>+IQR_results_usd!B84*FXs!$C$2</f>
        <v>0</v>
      </c>
      <c r="C84" s="20">
        <f>+IQR_results_usd!C84*FXs!$C$3</f>
        <v>0</v>
      </c>
      <c r="D84" s="20">
        <f>+IQR_results_usd!D84*FXs!$C$4</f>
        <v>0</v>
      </c>
      <c r="E84" s="20">
        <f>+IQR_results_usd!E84*FXs!$C$5</f>
        <v>0</v>
      </c>
      <c r="F84" s="20">
        <f>+IQR_results_usd!F84*FXs!$C$6</f>
        <v>0</v>
      </c>
      <c r="G84" s="20">
        <f>+IQR_results_usd!G84*FXs!$C$7</f>
        <v>0</v>
      </c>
      <c r="H84" s="20">
        <f>+IQR_results_usd!H84*FXs!$C$8</f>
        <v>0</v>
      </c>
      <c r="I84" s="20">
        <f>+IQR_results_usd!I84*FXs!$C$9</f>
        <v>0</v>
      </c>
      <c r="J84" s="20">
        <f>+IQR_results_usd!J84*FXs!$C$10</f>
        <v>0</v>
      </c>
      <c r="K84" s="20">
        <f>+IQR_results_usd!K84*FXs!$C$11</f>
        <v>0</v>
      </c>
    </row>
    <row r="85" spans="1:11">
      <c r="A85" s="6" t="s">
        <v>84</v>
      </c>
      <c r="B85" s="20">
        <f>+IQR_results_usd!B85*FXs!$C$2</f>
        <v>31611.131000000001</v>
      </c>
      <c r="C85" s="20">
        <f>+IQR_results_usd!C85*FXs!$C$3</f>
        <v>31611.131000000001</v>
      </c>
      <c r="D85" s="20">
        <f>+IQR_results_usd!D85*FXs!$C$4</f>
        <v>31611.131000000001</v>
      </c>
      <c r="E85" s="20">
        <f>+IQR_results_usd!E85*FXs!$C$5</f>
        <v>31611.131000000001</v>
      </c>
      <c r="F85" s="20">
        <f>+IQR_results_usd!F85*FXs!$C$6</f>
        <v>61611.131000000001</v>
      </c>
      <c r="G85" s="20">
        <f>+IQR_results_usd!G85*FXs!$C$7</f>
        <v>189682.851</v>
      </c>
      <c r="H85" s="20">
        <f>+IQR_results_usd!H85*FXs!$C$8</f>
        <v>61611.131000000008</v>
      </c>
      <c r="I85" s="20">
        <f>+IQR_results_usd!I85*FXs!$C$9</f>
        <v>61611.131000000001</v>
      </c>
      <c r="J85" s="20">
        <f>+IQR_results_usd!J85*FXs!$C$10</f>
        <v>507988.07</v>
      </c>
      <c r="K85" s="20">
        <f>+IQR_results_usd!K85*FXs!$C$11</f>
        <v>61611.131000000001</v>
      </c>
    </row>
    <row r="86" spans="1:11">
      <c r="A86" s="5" t="s">
        <v>85</v>
      </c>
      <c r="B86" s="20">
        <f>+IQR_results_usd!B86*FXs!$C$2</f>
        <v>-28727.830999999998</v>
      </c>
      <c r="C86" s="20">
        <f>+IQR_results_usd!C86*FXs!$C$3</f>
        <v>-100955.39200000001</v>
      </c>
      <c r="D86" s="20">
        <f>+IQR_results_usd!D86*FXs!$C$4</f>
        <v>-108609.124</v>
      </c>
      <c r="E86" s="20">
        <f>+IQR_results_usd!E86*FXs!$C$5</f>
        <v>-111395.022</v>
      </c>
      <c r="F86" s="20">
        <f>+IQR_results_usd!F86*FXs!$C$6</f>
        <v>-97177.513999999996</v>
      </c>
      <c r="G86" s="20">
        <f>+IQR_results_usd!G86*FXs!$C$7</f>
        <v>-248477.864</v>
      </c>
      <c r="H86" s="20">
        <f>+IQR_results_usd!H86*FXs!$C$8</f>
        <v>-264757.13699999999</v>
      </c>
      <c r="I86" s="20">
        <f>+IQR_results_usd!I86*FXs!$C$9</f>
        <v>-97376.24500000001</v>
      </c>
      <c r="J86" s="20">
        <f>+IQR_results_usd!J86*FXs!$C$10</f>
        <v>1559488.6368567585</v>
      </c>
      <c r="K86" s="20">
        <f>+IQR_results_usd!K86*FXs!$C$11</f>
        <v>1875510.339323757</v>
      </c>
    </row>
    <row r="87" spans="1:11">
      <c r="A87" s="6" t="s">
        <v>86</v>
      </c>
      <c r="B87" s="20">
        <f>+IQR_results_usd!B87*FXs!$C$2</f>
        <v>0</v>
      </c>
      <c r="C87" s="20">
        <f>+IQR_results_usd!C87*FXs!$C$3</f>
        <v>0</v>
      </c>
      <c r="D87" s="20">
        <f>+IQR_results_usd!D87*FXs!$C$4</f>
        <v>0</v>
      </c>
      <c r="E87" s="20">
        <f>+IQR_results_usd!E87*FXs!$C$5</f>
        <v>0</v>
      </c>
      <c r="F87" s="20">
        <f>+IQR_results_usd!F87*FXs!$C$6</f>
        <v>0</v>
      </c>
      <c r="G87" s="20">
        <f>+IQR_results_usd!G87*FXs!$C$7</f>
        <v>0</v>
      </c>
      <c r="H87" s="20">
        <f>+IQR_results_usd!H87*FXs!$C$8</f>
        <v>0</v>
      </c>
      <c r="I87" s="20">
        <f>+IQR_results_usd!I87*FXs!$C$9</f>
        <v>0</v>
      </c>
      <c r="J87" s="20">
        <f>+IQR_results_usd!J87*FXs!$C$10</f>
        <v>0</v>
      </c>
      <c r="K87" s="20">
        <f>+IQR_results_usd!K87*FXs!$C$11</f>
        <v>0</v>
      </c>
    </row>
    <row r="88" spans="1:11">
      <c r="A88" s="5" t="s">
        <v>87</v>
      </c>
      <c r="B88" s="20">
        <f>+IQR_results_usd!B88*FXs!$C$2</f>
        <v>0</v>
      </c>
      <c r="C88" s="20">
        <f>+IQR_results_usd!C88*FXs!$C$3</f>
        <v>0</v>
      </c>
      <c r="D88" s="20">
        <f>+IQR_results_usd!D88*FXs!$C$4</f>
        <v>0</v>
      </c>
      <c r="E88" s="20">
        <f>+IQR_results_usd!E88*FXs!$C$5</f>
        <v>0</v>
      </c>
      <c r="F88" s="20">
        <f>+IQR_results_usd!F88*FXs!$C$6</f>
        <v>0</v>
      </c>
      <c r="G88" s="20">
        <f>+IQR_results_usd!G88*FXs!$C$7</f>
        <v>0</v>
      </c>
      <c r="H88" s="20">
        <f>+IQR_results_usd!H88*FXs!$C$8</f>
        <v>0</v>
      </c>
      <c r="I88" s="20">
        <f>+IQR_results_usd!I88*FXs!$C$9</f>
        <v>0</v>
      </c>
      <c r="J88" s="20">
        <f>+IQR_results_usd!J88*FXs!$C$10</f>
        <v>0</v>
      </c>
      <c r="K88" s="20">
        <f>+IQR_results_usd!K88*FXs!$C$11</f>
        <v>0</v>
      </c>
    </row>
    <row r="89" spans="1:11">
      <c r="A89" s="6" t="s">
        <v>88</v>
      </c>
      <c r="B89" s="20">
        <f>+IQR_results_usd!B89*FXs!$C$2</f>
        <v>0</v>
      </c>
      <c r="C89" s="20">
        <f>+IQR_results_usd!C89*FXs!$C$3</f>
        <v>0</v>
      </c>
      <c r="D89" s="20">
        <f>+IQR_results_usd!D89*FXs!$C$4</f>
        <v>0</v>
      </c>
      <c r="E89" s="20">
        <f>+IQR_results_usd!E89*FXs!$C$5</f>
        <v>0</v>
      </c>
      <c r="F89" s="20">
        <f>+IQR_results_usd!F89*FXs!$C$6</f>
        <v>0</v>
      </c>
      <c r="G89" s="20">
        <f>+IQR_results_usd!G89*FXs!$C$7</f>
        <v>0</v>
      </c>
      <c r="H89" s="20">
        <f>+IQR_results_usd!H89*FXs!$C$8</f>
        <v>0</v>
      </c>
      <c r="I89" s="20">
        <f>+IQR_results_usd!I89*FXs!$C$9</f>
        <v>0</v>
      </c>
      <c r="J89" s="20">
        <f>+IQR_results_usd!J89*FXs!$C$10</f>
        <v>0</v>
      </c>
      <c r="K89" s="20">
        <f>+IQR_results_usd!K89*FXs!$C$11</f>
        <v>0</v>
      </c>
    </row>
    <row r="90" spans="1:11">
      <c r="A90" s="5" t="s">
        <v>89</v>
      </c>
      <c r="B90" s="20">
        <f>+IQR_results_usd!B90*FXs!$C$2</f>
        <v>0</v>
      </c>
      <c r="C90" s="20">
        <f>+IQR_results_usd!C90*FXs!$C$3</f>
        <v>0</v>
      </c>
      <c r="D90" s="20">
        <f>+IQR_results_usd!D90*FXs!$C$4</f>
        <v>0</v>
      </c>
      <c r="E90" s="20">
        <f>+IQR_results_usd!E90*FXs!$C$5</f>
        <v>0</v>
      </c>
      <c r="F90" s="20">
        <f>+IQR_results_usd!F90*FXs!$C$6</f>
        <v>0</v>
      </c>
      <c r="G90" s="20">
        <f>+IQR_results_usd!G90*FXs!$C$7</f>
        <v>0</v>
      </c>
      <c r="H90" s="20">
        <f>+IQR_results_usd!H90*FXs!$C$8</f>
        <v>0</v>
      </c>
      <c r="I90" s="20">
        <f>+IQR_results_usd!I90*FXs!$C$9</f>
        <v>0</v>
      </c>
      <c r="J90" s="20">
        <f>+IQR_results_usd!J90*FXs!$C$10</f>
        <v>0</v>
      </c>
      <c r="K90" s="20">
        <f>+IQR_results_usd!K90*FXs!$C$11</f>
        <v>0</v>
      </c>
    </row>
    <row r="91" spans="1:11">
      <c r="A91" s="6" t="s">
        <v>90</v>
      </c>
      <c r="B91" s="20">
        <f>+IQR_results_usd!B91*FXs!$C$2</f>
        <v>-47332.565999999999</v>
      </c>
      <c r="C91" s="20">
        <f>+IQR_results_usd!C91*FXs!$C$3</f>
        <v>-51445.915000000001</v>
      </c>
      <c r="D91" s="20">
        <f>+IQR_results_usd!D91*FXs!$C$4</f>
        <v>-55020.631000000001</v>
      </c>
      <c r="E91" s="20">
        <f>+IQR_results_usd!E91*FXs!$C$5</f>
        <v>-54897.859999999993</v>
      </c>
      <c r="F91" s="20">
        <f>+IQR_results_usd!F91*FXs!$C$6</f>
        <v>-48360.951000000008</v>
      </c>
      <c r="G91" s="20">
        <f>+IQR_results_usd!G91*FXs!$C$7</f>
        <v>-53779.845999999998</v>
      </c>
      <c r="H91" s="20">
        <f>+IQR_results_usd!H91*FXs!$C$8</f>
        <v>-42922.023000000001</v>
      </c>
      <c r="I91" s="20">
        <f>+IQR_results_usd!I91*FXs!$C$9</f>
        <v>-72628.244000000006</v>
      </c>
      <c r="J91" s="20">
        <f>+IQR_results_usd!J91*FXs!$C$10</f>
        <v>769636.52780510276</v>
      </c>
      <c r="K91" s="20">
        <f>+IQR_results_usd!K91*FXs!$C$11</f>
        <v>925599.09146185755</v>
      </c>
    </row>
    <row r="92" spans="1:11">
      <c r="A92" s="5" t="s">
        <v>91</v>
      </c>
      <c r="B92" s="20">
        <f>+IQR_results_usd!B92*FXs!$C$2</f>
        <v>0</v>
      </c>
      <c r="C92" s="20">
        <f>+IQR_results_usd!C92*FXs!$C$3</f>
        <v>0</v>
      </c>
      <c r="D92" s="20">
        <f>+IQR_results_usd!D92*FXs!$C$4</f>
        <v>0</v>
      </c>
      <c r="E92" s="20">
        <f>+IQR_results_usd!E92*FXs!$C$5</f>
        <v>0</v>
      </c>
      <c r="F92" s="20">
        <f>+IQR_results_usd!F92*FXs!$C$6</f>
        <v>0</v>
      </c>
      <c r="G92" s="20">
        <f>+IQR_results_usd!G92*FXs!$C$7</f>
        <v>0</v>
      </c>
      <c r="H92" s="20">
        <f>+IQR_results_usd!H92*FXs!$C$8</f>
        <v>0</v>
      </c>
      <c r="I92" s="20">
        <f>+IQR_results_usd!I92*FXs!$C$9</f>
        <v>0</v>
      </c>
      <c r="J92" s="20">
        <f>+IQR_results_usd!J92*FXs!$C$10</f>
        <v>0</v>
      </c>
      <c r="K92" s="20">
        <f>+IQR_results_usd!K92*FXs!$C$11</f>
        <v>0</v>
      </c>
    </row>
    <row r="93" spans="1:11">
      <c r="A93" s="7" t="s">
        <v>74</v>
      </c>
      <c r="B93" s="20">
        <f>+IQR_results_usd!B93*FXs!$C$2</f>
        <v>-44449.265999999996</v>
      </c>
      <c r="C93" s="20">
        <f>+IQR_results_usd!C93*FXs!$C$3</f>
        <v>-120790.17599999999</v>
      </c>
      <c r="D93" s="20">
        <f>+IQR_results_usd!D93*FXs!$C$4</f>
        <v>-132018.62399999998</v>
      </c>
      <c r="E93" s="20">
        <f>+IQR_results_usd!E93*FXs!$C$5</f>
        <v>-134681.75099999999</v>
      </c>
      <c r="F93" s="20">
        <f>+IQR_results_usd!F93*FXs!$C$6</f>
        <v>-83927.334000000003</v>
      </c>
      <c r="G93" s="20">
        <f>+IQR_results_usd!G93*FXs!$C$7</f>
        <v>-112574.859</v>
      </c>
      <c r="H93" s="20">
        <f>+IQR_results_usd!H93*FXs!$C$8</f>
        <v>-246068.02899999998</v>
      </c>
      <c r="I93" s="20">
        <f>+IQR_results_usd!I93*FXs!$C$9</f>
        <v>5382078.9160000002</v>
      </c>
      <c r="J93" s="20">
        <f>+IQR_results_usd!J93*FXs!$C$10</f>
        <v>10058113.502</v>
      </c>
      <c r="K93" s="20">
        <f>+IQR_results_usd!K93*FXs!$C$11</f>
        <v>14986696.556</v>
      </c>
    </row>
    <row r="94" spans="1:11">
      <c r="A94" s="5" t="s">
        <v>92</v>
      </c>
      <c r="B94" s="20">
        <f>+IQR_results_usd!B94*FXs!$C$2</f>
        <v>0</v>
      </c>
      <c r="C94" s="20">
        <f>+IQR_results_usd!C94*FXs!$C$3</f>
        <v>0</v>
      </c>
      <c r="D94" s="20">
        <f>+IQR_results_usd!D94*FXs!$C$4</f>
        <v>0</v>
      </c>
      <c r="E94" s="20">
        <f>+IQR_results_usd!E94*FXs!$C$5</f>
        <v>0</v>
      </c>
      <c r="F94" s="20">
        <f>+IQR_results_usd!F94*FXs!$C$6</f>
        <v>0</v>
      </c>
      <c r="G94" s="20">
        <f>+IQR_results_usd!G94*FXs!$C$7</f>
        <v>0</v>
      </c>
      <c r="H94" s="20">
        <f>+IQR_results_usd!H94*FXs!$C$8</f>
        <v>0</v>
      </c>
      <c r="I94" s="20">
        <f>+IQR_results_usd!I94*FXs!$C$9</f>
        <v>0</v>
      </c>
      <c r="J94" s="20">
        <f>+IQR_results_usd!J94*FXs!$C$10</f>
        <v>0</v>
      </c>
      <c r="K94" s="20">
        <f>+IQR_results_usd!K94*FXs!$C$11</f>
        <v>0</v>
      </c>
    </row>
    <row r="95" spans="1:11">
      <c r="A95" s="6" t="s">
        <v>93</v>
      </c>
      <c r="B95" s="20">
        <f>+IQR_results_usd!B95*FXs!$C$2</f>
        <v>0</v>
      </c>
      <c r="C95" s="20">
        <f>+IQR_results_usd!C95*FXs!$C$3</f>
        <v>1520.4689797159581</v>
      </c>
      <c r="D95" s="20">
        <f>+IQR_results_usd!D95*FXs!$C$4</f>
        <v>1676.8236412702358</v>
      </c>
      <c r="E95" s="20">
        <f>+IQR_results_usd!E95*FXs!$C$5</f>
        <v>0</v>
      </c>
      <c r="F95" s="20">
        <f>+IQR_results_usd!F95*FXs!$C$6</f>
        <v>0</v>
      </c>
      <c r="G95" s="20">
        <f>+IQR_results_usd!G95*FXs!$C$7</f>
        <v>0</v>
      </c>
      <c r="H95" s="20">
        <f>+IQR_results_usd!H95*FXs!$C$8</f>
        <v>729.55499999999995</v>
      </c>
      <c r="I95" s="20">
        <f>+IQR_results_usd!I95*FXs!$C$9</f>
        <v>2105.569</v>
      </c>
      <c r="J95" s="20">
        <f>+IQR_results_usd!J95*FXs!$C$10</f>
        <v>2811.2460000000001</v>
      </c>
      <c r="K95" s="20">
        <f>+IQR_results_usd!K95*FXs!$C$11</f>
        <v>90.216999999999999</v>
      </c>
    </row>
    <row r="96" spans="1:11">
      <c r="A96" s="5" t="s">
        <v>94</v>
      </c>
      <c r="B96" s="20">
        <f>+IQR_results_usd!B96*FXs!$C$2</f>
        <v>0</v>
      </c>
      <c r="C96" s="20">
        <f>+IQR_results_usd!C96*FXs!$C$3</f>
        <v>0</v>
      </c>
      <c r="D96" s="20">
        <f>+IQR_results_usd!D96*FXs!$C$4</f>
        <v>0</v>
      </c>
      <c r="E96" s="20">
        <f>+IQR_results_usd!E96*FXs!$C$5</f>
        <v>0</v>
      </c>
      <c r="F96" s="20">
        <f>+IQR_results_usd!F96*FXs!$C$6</f>
        <v>0</v>
      </c>
      <c r="G96" s="20">
        <f>+IQR_results_usd!G96*FXs!$C$7</f>
        <v>0</v>
      </c>
      <c r="H96" s="20">
        <f>+IQR_results_usd!H96*FXs!$C$8</f>
        <v>0</v>
      </c>
      <c r="I96" s="20">
        <f>+IQR_results_usd!I96*FXs!$C$9</f>
        <v>0</v>
      </c>
      <c r="J96" s="20">
        <f>+IQR_results_usd!J96*FXs!$C$10</f>
        <v>0</v>
      </c>
      <c r="K96" s="20">
        <f>+IQR_results_usd!K96*FXs!$C$11</f>
        <v>0</v>
      </c>
    </row>
    <row r="97" spans="1:11">
      <c r="A97" s="6" t="s">
        <v>95</v>
      </c>
      <c r="B97" s="20">
        <f>+IQR_results_usd!B97*FXs!$C$2</f>
        <v>0</v>
      </c>
      <c r="C97" s="20">
        <f>+IQR_results_usd!C97*FXs!$C$3</f>
        <v>0</v>
      </c>
      <c r="D97" s="20">
        <f>+IQR_results_usd!D97*FXs!$C$4</f>
        <v>0</v>
      </c>
      <c r="E97" s="20">
        <f>+IQR_results_usd!E97*FXs!$C$5</f>
        <v>0</v>
      </c>
      <c r="F97" s="20">
        <f>+IQR_results_usd!F97*FXs!$C$6</f>
        <v>0</v>
      </c>
      <c r="G97" s="20">
        <f>+IQR_results_usd!G97*FXs!$C$7</f>
        <v>0</v>
      </c>
      <c r="H97" s="20">
        <f>+IQR_results_usd!H97*FXs!$C$8</f>
        <v>0</v>
      </c>
      <c r="I97" s="20">
        <f>+IQR_results_usd!I97*FXs!$C$9</f>
        <v>0</v>
      </c>
      <c r="J97" s="20">
        <f>+IQR_results_usd!J97*FXs!$C$10</f>
        <v>0</v>
      </c>
      <c r="K97" s="20">
        <f>+IQR_results_usd!K97*FXs!$C$11</f>
        <v>0</v>
      </c>
    </row>
    <row r="98" spans="1:11">
      <c r="A98" s="5" t="s">
        <v>96</v>
      </c>
      <c r="B98" s="20">
        <f>+IQR_results_usd!B98*FXs!$C$2</f>
        <v>0</v>
      </c>
      <c r="C98" s="20">
        <f>+IQR_results_usd!C98*FXs!$C$3</f>
        <v>0</v>
      </c>
      <c r="D98" s="20">
        <f>+IQR_results_usd!D98*FXs!$C$4</f>
        <v>0</v>
      </c>
      <c r="E98" s="20">
        <f>+IQR_results_usd!E98*FXs!$C$5</f>
        <v>0</v>
      </c>
      <c r="F98" s="20">
        <f>+IQR_results_usd!F98*FXs!$C$6</f>
        <v>0</v>
      </c>
      <c r="G98" s="20">
        <f>+IQR_results_usd!G98*FXs!$C$7</f>
        <v>0</v>
      </c>
      <c r="H98" s="20">
        <f>+IQR_results_usd!H98*FXs!$C$8</f>
        <v>0</v>
      </c>
      <c r="I98" s="20">
        <f>+IQR_results_usd!I98*FXs!$C$9</f>
        <v>0</v>
      </c>
      <c r="J98" s="20">
        <f>+IQR_results_usd!J98*FXs!$C$10</f>
        <v>0</v>
      </c>
      <c r="K98" s="20">
        <f>+IQR_results_usd!K98*FXs!$C$11</f>
        <v>0</v>
      </c>
    </row>
    <row r="99" spans="1:11">
      <c r="A99" s="6" t="s">
        <v>97</v>
      </c>
      <c r="B99" s="20">
        <f>+IQR_results_usd!B99*FXs!$C$2</f>
        <v>0</v>
      </c>
      <c r="C99" s="20">
        <f>+IQR_results_usd!C99*FXs!$C$3</f>
        <v>0</v>
      </c>
      <c r="D99" s="20">
        <f>+IQR_results_usd!D99*FXs!$C$4</f>
        <v>0</v>
      </c>
      <c r="E99" s="20">
        <f>+IQR_results_usd!E99*FXs!$C$5</f>
        <v>0</v>
      </c>
      <c r="F99" s="20">
        <f>+IQR_results_usd!F99*FXs!$C$6</f>
        <v>0</v>
      </c>
      <c r="G99" s="20">
        <f>+IQR_results_usd!G99*FXs!$C$7</f>
        <v>0</v>
      </c>
      <c r="H99" s="20">
        <f>+IQR_results_usd!H99*FXs!$C$8</f>
        <v>0</v>
      </c>
      <c r="I99" s="20">
        <f>+IQR_results_usd!I99*FXs!$C$9</f>
        <v>0</v>
      </c>
      <c r="J99" s="20">
        <f>+IQR_results_usd!J99*FXs!$C$10</f>
        <v>0</v>
      </c>
      <c r="K99" s="20">
        <f>+IQR_results_usd!K99*FXs!$C$11</f>
        <v>0</v>
      </c>
    </row>
    <row r="100" spans="1:11">
      <c r="A100" s="7" t="s">
        <v>98</v>
      </c>
      <c r="B100" s="20">
        <f>+IQR_results_usd!B100*FXs!$C$2</f>
        <v>0</v>
      </c>
      <c r="C100" s="20">
        <f>+IQR_results_usd!C100*FXs!$C$3</f>
        <v>1520.4689797159581</v>
      </c>
      <c r="D100" s="20">
        <f>+IQR_results_usd!D100*FXs!$C$4</f>
        <v>1676.8236412702358</v>
      </c>
      <c r="E100" s="20">
        <f>+IQR_results_usd!E100*FXs!$C$5</f>
        <v>0</v>
      </c>
      <c r="F100" s="20">
        <f>+IQR_results_usd!F100*FXs!$C$6</f>
        <v>0</v>
      </c>
      <c r="G100" s="20">
        <f>+IQR_results_usd!G100*FXs!$C$7</f>
        <v>0</v>
      </c>
      <c r="H100" s="20">
        <f>+IQR_results_usd!H100*FXs!$C$8</f>
        <v>729.55499999999995</v>
      </c>
      <c r="I100" s="20">
        <f>+IQR_results_usd!I100*FXs!$C$9</f>
        <v>2105.569</v>
      </c>
      <c r="J100" s="20">
        <f>+IQR_results_usd!J100*FXs!$C$10</f>
        <v>2811.2460000000001</v>
      </c>
      <c r="K100" s="20">
        <f>+IQR_results_usd!K100*FXs!$C$11</f>
        <v>90.216999999999999</v>
      </c>
    </row>
    <row r="101" spans="1:11">
      <c r="A101" s="6" t="s">
        <v>99</v>
      </c>
      <c r="B101" s="20">
        <f>+IQR_results_usd!B101*FXs!$C$2</f>
        <v>826913.10199999996</v>
      </c>
      <c r="C101" s="20">
        <f>+IQR_results_usd!C101*FXs!$C$3</f>
        <v>982649.83799999999</v>
      </c>
      <c r="D101" s="20">
        <f>+IQR_results_usd!D101*FXs!$C$4</f>
        <v>1037826.825</v>
      </c>
      <c r="E101" s="20">
        <f>+IQR_results_usd!E101*FXs!$C$5</f>
        <v>1176102.6880000001</v>
      </c>
      <c r="F101" s="20">
        <f>+IQR_results_usd!F101*FXs!$C$6</f>
        <v>1632924.929</v>
      </c>
      <c r="G101" s="20">
        <f>+IQR_results_usd!G101*FXs!$C$7</f>
        <v>1960840.149</v>
      </c>
      <c r="H101" s="20">
        <f>+IQR_results_usd!H101*FXs!$C$8</f>
        <v>2259510.4920000001</v>
      </c>
      <c r="I101" s="20">
        <f>+IQR_results_usd!I101*FXs!$C$9</f>
        <v>3212352.8370000003</v>
      </c>
      <c r="J101" s="20">
        <f>+IQR_results_usd!J101*FXs!$C$10</f>
        <v>5001753.5279999999</v>
      </c>
      <c r="K101" s="20">
        <f>+IQR_results_usd!K101*FXs!$C$11</f>
        <v>11106977.618000001</v>
      </c>
    </row>
    <row r="102" spans="1:11">
      <c r="A102" s="5" t="s">
        <v>100</v>
      </c>
      <c r="B102" s="20">
        <f>+IQR_results_usd!B102*FXs!$C$2</f>
        <v>0</v>
      </c>
      <c r="C102" s="20">
        <f>+IQR_results_usd!C102*FXs!$C$3</f>
        <v>0</v>
      </c>
      <c r="D102" s="20">
        <f>+IQR_results_usd!D102*FXs!$C$4</f>
        <v>0</v>
      </c>
      <c r="E102" s="20">
        <f>+IQR_results_usd!E102*FXs!$C$5</f>
        <v>0</v>
      </c>
      <c r="F102" s="20">
        <f>+IQR_results_usd!F102*FXs!$C$6</f>
        <v>0</v>
      </c>
      <c r="G102" s="20">
        <f>+IQR_results_usd!G102*FXs!$C$7</f>
        <v>0</v>
      </c>
      <c r="H102" s="20">
        <f>+IQR_results_usd!H102*FXs!$C$8</f>
        <v>0</v>
      </c>
      <c r="I102" s="20">
        <f>+IQR_results_usd!I102*FXs!$C$9</f>
        <v>0</v>
      </c>
      <c r="J102" s="20">
        <f>+IQR_results_usd!J102*FXs!$C$10</f>
        <v>0</v>
      </c>
      <c r="K102" s="20">
        <f>+IQR_results_usd!K102*FXs!$C$11</f>
        <v>0</v>
      </c>
    </row>
    <row r="103" spans="1:11">
      <c r="A103" s="6" t="s">
        <v>101</v>
      </c>
      <c r="B103" s="20">
        <f>+IQR_results_usd!B103*FXs!$C$2</f>
        <v>0</v>
      </c>
      <c r="C103" s="20">
        <f>+IQR_results_usd!C103*FXs!$C$3</f>
        <v>0</v>
      </c>
      <c r="D103" s="20">
        <f>+IQR_results_usd!D103*FXs!$C$4</f>
        <v>0</v>
      </c>
      <c r="E103" s="20">
        <f>+IQR_results_usd!E103*FXs!$C$5</f>
        <v>0</v>
      </c>
      <c r="F103" s="20">
        <f>+IQR_results_usd!F103*FXs!$C$6</f>
        <v>0</v>
      </c>
      <c r="G103" s="20">
        <f>+IQR_results_usd!G103*FXs!$C$7</f>
        <v>0</v>
      </c>
      <c r="H103" s="20">
        <f>+IQR_results_usd!H103*FXs!$C$8</f>
        <v>0</v>
      </c>
      <c r="I103" s="20">
        <f>+IQR_results_usd!I103*FXs!$C$9</f>
        <v>0</v>
      </c>
      <c r="J103" s="20">
        <f>+IQR_results_usd!J103*FXs!$C$10</f>
        <v>0</v>
      </c>
      <c r="K103" s="20">
        <f>+IQR_results_usd!K103*FXs!$C$11</f>
        <v>0</v>
      </c>
    </row>
    <row r="104" spans="1:11">
      <c r="A104" s="5" t="s">
        <v>102</v>
      </c>
      <c r="B104" s="20">
        <f>+IQR_results_usd!B104*FXs!$C$2</f>
        <v>0</v>
      </c>
      <c r="C104" s="20">
        <f>+IQR_results_usd!C104*FXs!$C$3</f>
        <v>0</v>
      </c>
      <c r="D104" s="20">
        <f>+IQR_results_usd!D104*FXs!$C$4</f>
        <v>0</v>
      </c>
      <c r="E104" s="20">
        <f>+IQR_results_usd!E104*FXs!$C$5</f>
        <v>0</v>
      </c>
      <c r="F104" s="20">
        <f>+IQR_results_usd!F104*FXs!$C$6</f>
        <v>0</v>
      </c>
      <c r="G104" s="20">
        <f>+IQR_results_usd!G104*FXs!$C$7</f>
        <v>0</v>
      </c>
      <c r="H104" s="20">
        <f>+IQR_results_usd!H104*FXs!$C$8</f>
        <v>0</v>
      </c>
      <c r="I104" s="20">
        <f>+IQR_results_usd!I104*FXs!$C$9</f>
        <v>0</v>
      </c>
      <c r="J104" s="20">
        <f>+IQR_results_usd!J104*FXs!$C$10</f>
        <v>0</v>
      </c>
      <c r="K104" s="20">
        <f>+IQR_results_usd!K104*FXs!$C$11</f>
        <v>0</v>
      </c>
    </row>
    <row r="105" spans="1:11">
      <c r="A105" s="6" t="s">
        <v>103</v>
      </c>
      <c r="B105" s="20">
        <f>+IQR_results_usd!B105*FXs!$C$2</f>
        <v>0</v>
      </c>
      <c r="C105" s="20">
        <f>+IQR_results_usd!C105*FXs!$C$3</f>
        <v>0</v>
      </c>
      <c r="D105" s="20">
        <f>+IQR_results_usd!D105*FXs!$C$4</f>
        <v>0</v>
      </c>
      <c r="E105" s="20">
        <f>+IQR_results_usd!E105*FXs!$C$5</f>
        <v>0</v>
      </c>
      <c r="F105" s="20">
        <f>+IQR_results_usd!F105*FXs!$C$6</f>
        <v>0</v>
      </c>
      <c r="G105" s="20">
        <f>+IQR_results_usd!G105*FXs!$C$7</f>
        <v>0</v>
      </c>
      <c r="H105" s="20">
        <f>+IQR_results_usd!H105*FXs!$C$8</f>
        <v>0</v>
      </c>
      <c r="I105" s="20">
        <f>+IQR_results_usd!I105*FXs!$C$9</f>
        <v>0</v>
      </c>
      <c r="J105" s="20">
        <f>+IQR_results_usd!J105*FXs!$C$10</f>
        <v>0</v>
      </c>
      <c r="K105" s="20">
        <f>+IQR_results_usd!K105*FXs!$C$11</f>
        <v>0</v>
      </c>
    </row>
    <row r="106" spans="1:11">
      <c r="A106" s="5" t="s">
        <v>104</v>
      </c>
      <c r="B106" s="20">
        <f>+IQR_results_usd!B106*FXs!$C$2</f>
        <v>0</v>
      </c>
      <c r="C106" s="20">
        <f>+IQR_results_usd!C106*FXs!$C$3</f>
        <v>0</v>
      </c>
      <c r="D106" s="20">
        <f>+IQR_results_usd!D106*FXs!$C$4</f>
        <v>0</v>
      </c>
      <c r="E106" s="20">
        <f>+IQR_results_usd!E106*FXs!$C$5</f>
        <v>0</v>
      </c>
      <c r="F106" s="20">
        <f>+IQR_results_usd!F106*FXs!$C$6</f>
        <v>0</v>
      </c>
      <c r="G106" s="20">
        <f>+IQR_results_usd!G106*FXs!$C$7</f>
        <v>0</v>
      </c>
      <c r="H106" s="20">
        <f>+IQR_results_usd!H106*FXs!$C$8</f>
        <v>0</v>
      </c>
      <c r="I106" s="20">
        <f>+IQR_results_usd!I106*FXs!$C$9</f>
        <v>0</v>
      </c>
      <c r="J106" s="20">
        <f>+IQR_results_usd!J106*FXs!$C$10</f>
        <v>0</v>
      </c>
      <c r="K106" s="20">
        <f>+IQR_results_usd!K106*FXs!$C$11</f>
        <v>0</v>
      </c>
    </row>
    <row r="107" spans="1:11">
      <c r="A107" s="6" t="s">
        <v>105</v>
      </c>
      <c r="B107" s="20">
        <f>+IQR_results_usd!B107*FXs!$C$2</f>
        <v>0</v>
      </c>
      <c r="C107" s="20">
        <f>+IQR_results_usd!C107*FXs!$C$3</f>
        <v>0</v>
      </c>
      <c r="D107" s="20">
        <f>+IQR_results_usd!D107*FXs!$C$4</f>
        <v>0</v>
      </c>
      <c r="E107" s="20">
        <f>+IQR_results_usd!E107*FXs!$C$5</f>
        <v>0</v>
      </c>
      <c r="F107" s="20">
        <f>+IQR_results_usd!F107*FXs!$C$6</f>
        <v>0</v>
      </c>
      <c r="G107" s="20">
        <f>+IQR_results_usd!G107*FXs!$C$7</f>
        <v>0</v>
      </c>
      <c r="H107" s="20">
        <f>+IQR_results_usd!H107*FXs!$C$8</f>
        <v>0</v>
      </c>
      <c r="I107" s="20">
        <f>+IQR_results_usd!I107*FXs!$C$9</f>
        <v>0</v>
      </c>
      <c r="J107" s="20">
        <f>+IQR_results_usd!J107*FXs!$C$10</f>
        <v>0</v>
      </c>
      <c r="K107" s="20">
        <f>+IQR_results_usd!K107*FXs!$C$11</f>
        <v>0</v>
      </c>
    </row>
    <row r="108" spans="1:11">
      <c r="A108" s="7" t="s">
        <v>106</v>
      </c>
      <c r="B108" s="20">
        <f>+IQR_results_usd!B108*FXs!$C$2</f>
        <v>827234.26699999999</v>
      </c>
      <c r="C108" s="20">
        <f>+IQR_results_usd!C108*FXs!$C$3</f>
        <v>982649.83799999999</v>
      </c>
      <c r="D108" s="20">
        <f>+IQR_results_usd!D108*FXs!$C$4</f>
        <v>1037826.825</v>
      </c>
      <c r="E108" s="20">
        <f>+IQR_results_usd!E108*FXs!$C$5</f>
        <v>1176102.6880000001</v>
      </c>
      <c r="F108" s="20">
        <f>+IQR_results_usd!F108*FXs!$C$6</f>
        <v>1632924.929</v>
      </c>
      <c r="G108" s="20">
        <f>+IQR_results_usd!G108*FXs!$C$7</f>
        <v>1960840.149</v>
      </c>
      <c r="H108" s="20">
        <f>+IQR_results_usd!H108*FXs!$C$8</f>
        <v>2259510.4920000001</v>
      </c>
      <c r="I108" s="20">
        <f>+IQR_results_usd!I108*FXs!$C$9</f>
        <v>3212352.8370000003</v>
      </c>
      <c r="J108" s="20">
        <f>+IQR_results_usd!J108*FXs!$C$10</f>
        <v>5001753.5279999999</v>
      </c>
      <c r="K108" s="20">
        <f>+IQR_results_usd!K108*FXs!$C$11</f>
        <v>11106977.618000001</v>
      </c>
    </row>
    <row r="109" spans="1:11">
      <c r="A109" s="6" t="s">
        <v>107</v>
      </c>
      <c r="B109" s="20">
        <f>+IQR_results_usd!B109*FXs!$C$2</f>
        <v>0</v>
      </c>
      <c r="C109" s="20">
        <f>+IQR_results_usd!C109*FXs!$C$3</f>
        <v>0</v>
      </c>
      <c r="D109" s="20">
        <f>+IQR_results_usd!D109*FXs!$C$4</f>
        <v>0</v>
      </c>
      <c r="E109" s="20">
        <f>+IQR_results_usd!E109*FXs!$C$5</f>
        <v>0</v>
      </c>
      <c r="F109" s="20">
        <f>+IQR_results_usd!F109*FXs!$C$6</f>
        <v>0</v>
      </c>
      <c r="G109" s="20">
        <f>+IQR_results_usd!G109*FXs!$C$7</f>
        <v>0</v>
      </c>
      <c r="H109" s="20">
        <f>+IQR_results_usd!H109*FXs!$C$8</f>
        <v>0</v>
      </c>
      <c r="I109" s="20">
        <f>+IQR_results_usd!I109*FXs!$C$9</f>
        <v>0</v>
      </c>
      <c r="J109" s="20">
        <f>+IQR_results_usd!J109*FXs!$C$10</f>
        <v>0</v>
      </c>
      <c r="K109" s="20">
        <f>+IQR_results_usd!K109*FXs!$C$11</f>
        <v>0</v>
      </c>
    </row>
    <row r="110" spans="1:11">
      <c r="A110" s="5" t="s">
        <v>108</v>
      </c>
      <c r="B110" s="20">
        <f>+IQR_results_usd!B110*FXs!$C$2</f>
        <v>112371.11200000001</v>
      </c>
      <c r="C110" s="20">
        <f>+IQR_results_usd!C110*FXs!$C$3</f>
        <v>56488.428999999996</v>
      </c>
      <c r="D110" s="20">
        <f>+IQR_results_usd!D110*FXs!$C$4</f>
        <v>101366.05899999999</v>
      </c>
      <c r="E110" s="20">
        <f>+IQR_results_usd!E110*FXs!$C$5</f>
        <v>201118.394</v>
      </c>
      <c r="F110" s="20">
        <f>+IQR_results_usd!F110*FXs!$C$6</f>
        <v>300972.52899999998</v>
      </c>
      <c r="G110" s="20">
        <f>+IQR_results_usd!G110*FXs!$C$7</f>
        <v>289046.15299999999</v>
      </c>
      <c r="H110" s="20">
        <f>+IQR_results_usd!H110*FXs!$C$8</f>
        <v>251409.27100000001</v>
      </c>
      <c r="I110" s="20">
        <f>+IQR_results_usd!I110*FXs!$C$9</f>
        <v>45297.96699999999</v>
      </c>
      <c r="J110" s="20">
        <f>+IQR_results_usd!J110*FXs!$C$10</f>
        <v>317742.56699999998</v>
      </c>
      <c r="K110" s="20">
        <f>+IQR_results_usd!K110*FXs!$C$11</f>
        <v>42702.572999999997</v>
      </c>
    </row>
    <row r="111" spans="1:11">
      <c r="A111" s="7" t="s">
        <v>109</v>
      </c>
      <c r="B111" s="20">
        <f>+IQR_results_usd!B111*FXs!$C$2</f>
        <v>112508.212</v>
      </c>
      <c r="C111" s="20">
        <f>+IQR_results_usd!C111*FXs!$C$3</f>
        <v>56488.428999999996</v>
      </c>
      <c r="D111" s="20">
        <f>+IQR_results_usd!D111*FXs!$C$4</f>
        <v>101366.05899999999</v>
      </c>
      <c r="E111" s="20">
        <f>+IQR_results_usd!E111*FXs!$C$5</f>
        <v>201118.394</v>
      </c>
      <c r="F111" s="20">
        <f>+IQR_results_usd!F111*FXs!$C$6</f>
        <v>300972.52899999998</v>
      </c>
      <c r="G111" s="20">
        <f>+IQR_results_usd!G111*FXs!$C$7</f>
        <v>289046.15299999999</v>
      </c>
      <c r="H111" s="20">
        <f>+IQR_results_usd!H111*FXs!$C$8</f>
        <v>251409.27100000001</v>
      </c>
      <c r="I111" s="20">
        <f>+IQR_results_usd!I111*FXs!$C$9</f>
        <v>45297.96699999999</v>
      </c>
      <c r="J111" s="20">
        <f>+IQR_results_usd!J111*FXs!$C$10</f>
        <v>317742.56699999998</v>
      </c>
      <c r="K111" s="20">
        <f>+IQR_results_usd!K111*FXs!$C$11</f>
        <v>42702.572999999997</v>
      </c>
    </row>
    <row r="112" spans="1:11">
      <c r="A112" s="5" t="s">
        <v>110</v>
      </c>
      <c r="B112" s="20">
        <f>+IQR_results_usd!B112*FXs!$C$2</f>
        <v>0</v>
      </c>
      <c r="C112" s="20">
        <f>+IQR_results_usd!C112*FXs!$C$3</f>
        <v>314.76346348114288</v>
      </c>
      <c r="D112" s="20">
        <f>+IQR_results_usd!D112*FXs!$C$4</f>
        <v>0</v>
      </c>
      <c r="E112" s="20">
        <f>+IQR_results_usd!E112*FXs!$C$5</f>
        <v>159.56899999999999</v>
      </c>
      <c r="F112" s="20">
        <f>+IQR_results_usd!F112*FXs!$C$6</f>
        <v>526.65809151111034</v>
      </c>
      <c r="G112" s="20">
        <f>+IQR_results_usd!G112*FXs!$C$7</f>
        <v>0</v>
      </c>
      <c r="H112" s="20">
        <f>+IQR_results_usd!H112*FXs!$C$8</f>
        <v>0</v>
      </c>
      <c r="I112" s="20">
        <f>+IQR_results_usd!I112*FXs!$C$9</f>
        <v>0</v>
      </c>
      <c r="J112" s="20">
        <f>+IQR_results_usd!J112*FXs!$C$10</f>
        <v>0</v>
      </c>
      <c r="K112" s="20">
        <f>+IQR_results_usd!K112*FXs!$C$11</f>
        <v>0</v>
      </c>
    </row>
    <row r="113" spans="1:11">
      <c r="A113" s="6" t="s">
        <v>111</v>
      </c>
      <c r="B113" s="20">
        <f>+IQR_results_usd!B113*FXs!$C$2</f>
        <v>0</v>
      </c>
      <c r="C113" s="20">
        <f>+IQR_results_usd!C113*FXs!$C$3</f>
        <v>0</v>
      </c>
      <c r="D113" s="20">
        <f>+IQR_results_usd!D113*FXs!$C$4</f>
        <v>0</v>
      </c>
      <c r="E113" s="20">
        <f>+IQR_results_usd!E113*FXs!$C$5</f>
        <v>0</v>
      </c>
      <c r="F113" s="20">
        <f>+IQR_results_usd!F113*FXs!$C$6</f>
        <v>0</v>
      </c>
      <c r="G113" s="20">
        <f>+IQR_results_usd!G113*FXs!$C$7</f>
        <v>0</v>
      </c>
      <c r="H113" s="20">
        <f>+IQR_results_usd!H113*FXs!$C$8</f>
        <v>0</v>
      </c>
      <c r="I113" s="20">
        <f>+IQR_results_usd!I113*FXs!$C$9</f>
        <v>0</v>
      </c>
      <c r="J113" s="20">
        <f>+IQR_results_usd!J113*FXs!$C$10</f>
        <v>0</v>
      </c>
      <c r="K113" s="20">
        <f>+IQR_results_usd!K113*FXs!$C$11</f>
        <v>0</v>
      </c>
    </row>
    <row r="114" spans="1:11">
      <c r="A114" s="5" t="s">
        <v>112</v>
      </c>
      <c r="B114" s="20">
        <f>+IQR_results_usd!B114*FXs!$C$2</f>
        <v>0</v>
      </c>
      <c r="C114" s="20">
        <f>+IQR_results_usd!C114*FXs!$C$3</f>
        <v>0</v>
      </c>
      <c r="D114" s="20">
        <f>+IQR_results_usd!D114*FXs!$C$4</f>
        <v>0</v>
      </c>
      <c r="E114" s="20">
        <f>+IQR_results_usd!E114*FXs!$C$5</f>
        <v>0</v>
      </c>
      <c r="F114" s="20">
        <f>+IQR_results_usd!F114*FXs!$C$6</f>
        <v>0</v>
      </c>
      <c r="G114" s="20">
        <f>+IQR_results_usd!G114*FXs!$C$7</f>
        <v>0</v>
      </c>
      <c r="H114" s="20">
        <f>+IQR_results_usd!H114*FXs!$C$8</f>
        <v>0</v>
      </c>
      <c r="I114" s="20">
        <f>+IQR_results_usd!I114*FXs!$C$9</f>
        <v>0</v>
      </c>
      <c r="J114" s="20">
        <f>+IQR_results_usd!J114*FXs!$C$10</f>
        <v>0</v>
      </c>
      <c r="K114" s="20">
        <f>+IQR_results_usd!K114*FXs!$C$11</f>
        <v>0</v>
      </c>
    </row>
    <row r="115" spans="1:11">
      <c r="A115" s="6" t="s">
        <v>113</v>
      </c>
      <c r="B115" s="20">
        <f>+IQR_results_usd!B115*FXs!$C$2</f>
        <v>3712.81</v>
      </c>
      <c r="C115" s="20">
        <f>+IQR_results_usd!C115*FXs!$C$3</f>
        <v>3341.6239999999998</v>
      </c>
      <c r="D115" s="20">
        <f>+IQR_results_usd!D115*FXs!$C$4</f>
        <v>2970.4380000000001</v>
      </c>
      <c r="E115" s="20">
        <f>+IQR_results_usd!E115*FXs!$C$5</f>
        <v>2153.4090000000001</v>
      </c>
      <c r="F115" s="20">
        <f>+IQR_results_usd!F115*FXs!$C$6</f>
        <v>1336.84</v>
      </c>
      <c r="G115" s="20">
        <f>+IQR_results_usd!G115*FXs!$C$7</f>
        <v>891.22699999999998</v>
      </c>
      <c r="H115" s="20">
        <f>+IQR_results_usd!H115*FXs!$C$8</f>
        <v>445.61300000000006</v>
      </c>
      <c r="I115" s="20">
        <f>+IQR_results_usd!I115*FXs!$C$9</f>
        <v>0</v>
      </c>
      <c r="J115" s="20">
        <f>+IQR_results_usd!J115*FXs!$C$10</f>
        <v>0</v>
      </c>
      <c r="K115" s="20">
        <f>+IQR_results_usd!K115*FXs!$C$11</f>
        <v>0</v>
      </c>
    </row>
    <row r="116" spans="1:11">
      <c r="A116" s="5" t="s">
        <v>114</v>
      </c>
      <c r="B116" s="20">
        <f>+IQR_results_usd!B116*FXs!$C$2</f>
        <v>0</v>
      </c>
      <c r="C116" s="20">
        <f>+IQR_results_usd!C116*FXs!$C$3</f>
        <v>0</v>
      </c>
      <c r="D116" s="20">
        <f>+IQR_results_usd!D116*FXs!$C$4</f>
        <v>0</v>
      </c>
      <c r="E116" s="20">
        <f>+IQR_results_usd!E116*FXs!$C$5</f>
        <v>0</v>
      </c>
      <c r="F116" s="20">
        <f>+IQR_results_usd!F116*FXs!$C$6</f>
        <v>0</v>
      </c>
      <c r="G116" s="20">
        <f>+IQR_results_usd!G116*FXs!$C$7</f>
        <v>0</v>
      </c>
      <c r="H116" s="20">
        <f>+IQR_results_usd!H116*FXs!$C$8</f>
        <v>0</v>
      </c>
      <c r="I116" s="20">
        <f>+IQR_results_usd!I116*FXs!$C$9</f>
        <v>0</v>
      </c>
      <c r="J116" s="20">
        <f>+IQR_results_usd!J116*FXs!$C$10</f>
        <v>0</v>
      </c>
      <c r="K116" s="20">
        <f>+IQR_results_usd!K116*FXs!$C$11</f>
        <v>0</v>
      </c>
    </row>
    <row r="117" spans="1:11">
      <c r="A117" s="6" t="s">
        <v>115</v>
      </c>
      <c r="B117" s="20">
        <f>+IQR_results_usd!B117*FXs!$C$2</f>
        <v>0</v>
      </c>
      <c r="C117" s="20">
        <f>+IQR_results_usd!C117*FXs!$C$3</f>
        <v>0</v>
      </c>
      <c r="D117" s="20">
        <f>+IQR_results_usd!D117*FXs!$C$4</f>
        <v>0</v>
      </c>
      <c r="E117" s="20">
        <f>+IQR_results_usd!E117*FXs!$C$5</f>
        <v>0</v>
      </c>
      <c r="F117" s="20">
        <f>+IQR_results_usd!F117*FXs!$C$6</f>
        <v>0</v>
      </c>
      <c r="G117" s="20">
        <f>+IQR_results_usd!G117*FXs!$C$7</f>
        <v>0</v>
      </c>
      <c r="H117" s="20">
        <f>+IQR_results_usd!H117*FXs!$C$8</f>
        <v>0</v>
      </c>
      <c r="I117" s="20">
        <f>+IQR_results_usd!I117*FXs!$C$9</f>
        <v>0</v>
      </c>
      <c r="J117" s="20">
        <f>+IQR_results_usd!J117*FXs!$C$10</f>
        <v>0</v>
      </c>
      <c r="K117" s="20">
        <f>+IQR_results_usd!K117*FXs!$C$11</f>
        <v>0</v>
      </c>
    </row>
    <row r="118" spans="1:11">
      <c r="A118" s="5" t="s">
        <v>116</v>
      </c>
      <c r="B118" s="20">
        <f>+IQR_results_usd!B118*FXs!$C$2</f>
        <v>0</v>
      </c>
      <c r="C118" s="20">
        <f>+IQR_results_usd!C118*FXs!$C$3</f>
        <v>0</v>
      </c>
      <c r="D118" s="20">
        <f>+IQR_results_usd!D118*FXs!$C$4</f>
        <v>0</v>
      </c>
      <c r="E118" s="20">
        <f>+IQR_results_usd!E118*FXs!$C$5</f>
        <v>0</v>
      </c>
      <c r="F118" s="20">
        <f>+IQR_results_usd!F118*FXs!$C$6</f>
        <v>0</v>
      </c>
      <c r="G118" s="20">
        <f>+IQR_results_usd!G118*FXs!$C$7</f>
        <v>0</v>
      </c>
      <c r="H118" s="20">
        <f>+IQR_results_usd!H118*FXs!$C$8</f>
        <v>0</v>
      </c>
      <c r="I118" s="20">
        <f>+IQR_results_usd!I118*FXs!$C$9</f>
        <v>0</v>
      </c>
      <c r="J118" s="20">
        <f>+IQR_results_usd!J118*FXs!$C$10</f>
        <v>0</v>
      </c>
      <c r="K118" s="20">
        <f>+IQR_results_usd!K118*FXs!$C$11</f>
        <v>0</v>
      </c>
    </row>
    <row r="119" spans="1:11">
      <c r="A119" s="6" t="s">
        <v>117</v>
      </c>
      <c r="B119" s="20">
        <f>+IQR_results_usd!B119*FXs!$C$2</f>
        <v>0</v>
      </c>
      <c r="C119" s="20">
        <f>+IQR_results_usd!C119*FXs!$C$3</f>
        <v>0</v>
      </c>
      <c r="D119" s="20">
        <f>+IQR_results_usd!D119*FXs!$C$4</f>
        <v>0</v>
      </c>
      <c r="E119" s="20">
        <f>+IQR_results_usd!E119*FXs!$C$5</f>
        <v>0</v>
      </c>
      <c r="F119" s="20">
        <f>+IQR_results_usd!F119*FXs!$C$6</f>
        <v>0</v>
      </c>
      <c r="G119" s="20">
        <f>+IQR_results_usd!G119*FXs!$C$7</f>
        <v>0</v>
      </c>
      <c r="H119" s="20">
        <f>+IQR_results_usd!H119*FXs!$C$8</f>
        <v>0</v>
      </c>
      <c r="I119" s="20">
        <f>+IQR_results_usd!I119*FXs!$C$9</f>
        <v>0</v>
      </c>
      <c r="J119" s="20">
        <f>+IQR_results_usd!J119*FXs!$C$10</f>
        <v>0</v>
      </c>
      <c r="K119" s="20">
        <f>+IQR_results_usd!K119*FXs!$C$11</f>
        <v>0</v>
      </c>
    </row>
    <row r="120" spans="1:11">
      <c r="A120" s="5" t="s">
        <v>118</v>
      </c>
      <c r="B120" s="20">
        <f>+IQR_results_usd!B120*FXs!$C$2</f>
        <v>0</v>
      </c>
      <c r="C120" s="20">
        <f>+IQR_results_usd!C120*FXs!$C$3</f>
        <v>0</v>
      </c>
      <c r="D120" s="20">
        <f>+IQR_results_usd!D120*FXs!$C$4</f>
        <v>0</v>
      </c>
      <c r="E120" s="20">
        <f>+IQR_results_usd!E120*FXs!$C$5</f>
        <v>0</v>
      </c>
      <c r="F120" s="20">
        <f>+IQR_results_usd!F120*FXs!$C$6</f>
        <v>0</v>
      </c>
      <c r="G120" s="20">
        <f>+IQR_results_usd!G120*FXs!$C$7</f>
        <v>0</v>
      </c>
      <c r="H120" s="20">
        <f>+IQR_results_usd!H120*FXs!$C$8</f>
        <v>0</v>
      </c>
      <c r="I120" s="20">
        <f>+IQR_results_usd!I120*FXs!$C$9</f>
        <v>0</v>
      </c>
      <c r="J120" s="20">
        <f>+IQR_results_usd!J120*FXs!$C$10</f>
        <v>0</v>
      </c>
      <c r="K120" s="20">
        <f>+IQR_results_usd!K120*FXs!$C$11</f>
        <v>0</v>
      </c>
    </row>
    <row r="121" spans="1:11">
      <c r="A121" s="6" t="s">
        <v>119</v>
      </c>
      <c r="B121" s="20">
        <f>+IQR_results_usd!B121*FXs!$C$2</f>
        <v>0</v>
      </c>
      <c r="C121" s="20">
        <f>+IQR_results_usd!C121*FXs!$C$3</f>
        <v>0</v>
      </c>
      <c r="D121" s="20">
        <f>+IQR_results_usd!D121*FXs!$C$4</f>
        <v>0</v>
      </c>
      <c r="E121" s="20">
        <f>+IQR_results_usd!E121*FXs!$C$5</f>
        <v>0</v>
      </c>
      <c r="F121" s="20">
        <f>+IQR_results_usd!F121*FXs!$C$6</f>
        <v>0</v>
      </c>
      <c r="G121" s="20">
        <f>+IQR_results_usd!G121*FXs!$C$7</f>
        <v>0</v>
      </c>
      <c r="H121" s="20">
        <f>+IQR_results_usd!H121*FXs!$C$8</f>
        <v>0</v>
      </c>
      <c r="I121" s="20">
        <f>+IQR_results_usd!I121*FXs!$C$9</f>
        <v>0</v>
      </c>
      <c r="J121" s="20">
        <f>+IQR_results_usd!J121*FXs!$C$10</f>
        <v>0</v>
      </c>
      <c r="K121" s="20">
        <f>+IQR_results_usd!K121*FXs!$C$11</f>
        <v>0</v>
      </c>
    </row>
    <row r="122" spans="1:11">
      <c r="A122" s="7" t="s">
        <v>120</v>
      </c>
      <c r="B122" s="20">
        <f>+IQR_results_usd!B122*FXs!$C$2</f>
        <v>7955.9144544641576</v>
      </c>
      <c r="C122" s="20">
        <f>+IQR_results_usd!C122*FXs!$C$3</f>
        <v>4102.1350000000002</v>
      </c>
      <c r="D122" s="20">
        <f>+IQR_results_usd!D122*FXs!$C$4</f>
        <v>2970.4380000000001</v>
      </c>
      <c r="E122" s="20">
        <f>+IQR_results_usd!E122*FXs!$C$5</f>
        <v>2312.9780000000001</v>
      </c>
      <c r="F122" s="20">
        <f>+IQR_results_usd!F122*FXs!$C$6</f>
        <v>1939.924</v>
      </c>
      <c r="G122" s="20">
        <f>+IQR_results_usd!G122*FXs!$C$7</f>
        <v>891.22699999999998</v>
      </c>
      <c r="H122" s="20">
        <f>+IQR_results_usd!H122*FXs!$C$8</f>
        <v>445.61300000000006</v>
      </c>
      <c r="I122" s="20">
        <f>+IQR_results_usd!I122*FXs!$C$9</f>
        <v>0</v>
      </c>
      <c r="J122" s="20">
        <f>+IQR_results_usd!J122*FXs!$C$10</f>
        <v>0</v>
      </c>
      <c r="K122" s="20">
        <f>+IQR_results_usd!K122*FXs!$C$11</f>
        <v>0</v>
      </c>
    </row>
    <row r="123" spans="1:11">
      <c r="A123" s="6" t="s">
        <v>121</v>
      </c>
      <c r="B123" s="20">
        <f>+IQR_results_usd!B123*FXs!$C$2</f>
        <v>70638.824999999997</v>
      </c>
      <c r="C123" s="20">
        <f>+IQR_results_usd!C123*FXs!$C$3</f>
        <v>195595.64799999999</v>
      </c>
      <c r="D123" s="20">
        <f>+IQR_results_usd!D123*FXs!$C$4</f>
        <v>287378.78100000002</v>
      </c>
      <c r="E123" s="20">
        <f>+IQR_results_usd!E123*FXs!$C$5</f>
        <v>397149.56900000002</v>
      </c>
      <c r="F123" s="20">
        <f>+IQR_results_usd!F123*FXs!$C$6</f>
        <v>351519.13900000002</v>
      </c>
      <c r="G123" s="20">
        <f>+IQR_results_usd!G123*FXs!$C$7</f>
        <v>0</v>
      </c>
      <c r="H123" s="20">
        <f>+IQR_results_usd!H123*FXs!$C$8</f>
        <v>828520.897</v>
      </c>
      <c r="I123" s="20">
        <f>+IQR_results_usd!I123*FXs!$C$9</f>
        <v>1633122.551</v>
      </c>
      <c r="J123" s="20">
        <f>+IQR_results_usd!J123*FXs!$C$10</f>
        <v>389258.10499999998</v>
      </c>
      <c r="K123" s="20">
        <f>+IQR_results_usd!K123*FXs!$C$11</f>
        <v>0</v>
      </c>
    </row>
    <row r="124" spans="1:11">
      <c r="A124" s="5" t="s">
        <v>122</v>
      </c>
      <c r="B124" s="20">
        <f>+IQR_results_usd!B124*FXs!$C$2</f>
        <v>0</v>
      </c>
      <c r="C124" s="20">
        <f>+IQR_results_usd!C124*FXs!$C$3</f>
        <v>0</v>
      </c>
      <c r="D124" s="20">
        <f>+IQR_results_usd!D124*FXs!$C$4</f>
        <v>0</v>
      </c>
      <c r="E124" s="20">
        <f>+IQR_results_usd!E124*FXs!$C$5</f>
        <v>0</v>
      </c>
      <c r="F124" s="20">
        <f>+IQR_results_usd!F124*FXs!$C$6</f>
        <v>0</v>
      </c>
      <c r="G124" s="20">
        <f>+IQR_results_usd!G124*FXs!$C$7</f>
        <v>0</v>
      </c>
      <c r="H124" s="20">
        <f>+IQR_results_usd!H124*FXs!$C$8</f>
        <v>0</v>
      </c>
      <c r="I124" s="20">
        <f>+IQR_results_usd!I124*FXs!$C$9</f>
        <v>0</v>
      </c>
      <c r="J124" s="20">
        <f>+IQR_results_usd!J124*FXs!$C$10</f>
        <v>0</v>
      </c>
      <c r="K124" s="20">
        <f>+IQR_results_usd!K124*FXs!$C$11</f>
        <v>0</v>
      </c>
    </row>
    <row r="125" spans="1:11">
      <c r="A125" s="6" t="s">
        <v>123</v>
      </c>
      <c r="B125" s="20">
        <f>+IQR_results_usd!B125*FXs!$C$2</f>
        <v>0</v>
      </c>
      <c r="C125" s="20">
        <f>+IQR_results_usd!C125*FXs!$C$3</f>
        <v>0</v>
      </c>
      <c r="D125" s="20">
        <f>+IQR_results_usd!D125*FXs!$C$4</f>
        <v>0</v>
      </c>
      <c r="E125" s="20">
        <f>+IQR_results_usd!E125*FXs!$C$5</f>
        <v>0</v>
      </c>
      <c r="F125" s="20">
        <f>+IQR_results_usd!F125*FXs!$C$6</f>
        <v>0</v>
      </c>
      <c r="G125" s="20">
        <f>+IQR_results_usd!G125*FXs!$C$7</f>
        <v>0</v>
      </c>
      <c r="H125" s="20">
        <f>+IQR_results_usd!H125*FXs!$C$8</f>
        <v>0</v>
      </c>
      <c r="I125" s="20">
        <f>+IQR_results_usd!I125*FXs!$C$9</f>
        <v>0</v>
      </c>
      <c r="J125" s="20">
        <f>+IQR_results_usd!J125*FXs!$C$10</f>
        <v>0</v>
      </c>
      <c r="K125" s="20">
        <f>+IQR_results_usd!K125*FXs!$C$11</f>
        <v>0</v>
      </c>
    </row>
    <row r="126" spans="1:11">
      <c r="A126" s="5" t="s">
        <v>124</v>
      </c>
      <c r="B126" s="20">
        <f>+IQR_results_usd!B126*FXs!$C$2</f>
        <v>0</v>
      </c>
      <c r="C126" s="20">
        <f>+IQR_results_usd!C126*FXs!$C$3</f>
        <v>0</v>
      </c>
      <c r="D126" s="20">
        <f>+IQR_results_usd!D126*FXs!$C$4</f>
        <v>0</v>
      </c>
      <c r="E126" s="20">
        <f>+IQR_results_usd!E126*FXs!$C$5</f>
        <v>0</v>
      </c>
      <c r="F126" s="20">
        <f>+IQR_results_usd!F126*FXs!$C$6</f>
        <v>0</v>
      </c>
      <c r="G126" s="20">
        <f>+IQR_results_usd!G126*FXs!$C$7</f>
        <v>0</v>
      </c>
      <c r="H126" s="20">
        <f>+IQR_results_usd!H126*FXs!$C$8</f>
        <v>0</v>
      </c>
      <c r="I126" s="20">
        <f>+IQR_results_usd!I126*FXs!$C$9</f>
        <v>0</v>
      </c>
      <c r="J126" s="20">
        <f>+IQR_results_usd!J126*FXs!$C$10</f>
        <v>0</v>
      </c>
      <c r="K126" s="20">
        <f>+IQR_results_usd!K126*FXs!$C$11</f>
        <v>0</v>
      </c>
    </row>
    <row r="127" spans="1:11">
      <c r="A127" s="6" t="s">
        <v>125</v>
      </c>
      <c r="B127" s="20">
        <f>+IQR_results_usd!B127*FXs!$C$2</f>
        <v>0</v>
      </c>
      <c r="C127" s="20">
        <f>+IQR_results_usd!C127*FXs!$C$3</f>
        <v>0</v>
      </c>
      <c r="D127" s="20">
        <f>+IQR_results_usd!D127*FXs!$C$4</f>
        <v>0</v>
      </c>
      <c r="E127" s="20">
        <f>+IQR_results_usd!E127*FXs!$C$5</f>
        <v>0</v>
      </c>
      <c r="F127" s="20">
        <f>+IQR_results_usd!F127*FXs!$C$6</f>
        <v>0</v>
      </c>
      <c r="G127" s="20">
        <f>+IQR_results_usd!G127*FXs!$C$7</f>
        <v>0</v>
      </c>
      <c r="H127" s="20">
        <f>+IQR_results_usd!H127*FXs!$C$8</f>
        <v>0</v>
      </c>
      <c r="I127" s="20">
        <f>+IQR_results_usd!I127*FXs!$C$9</f>
        <v>0</v>
      </c>
      <c r="J127" s="20">
        <f>+IQR_results_usd!J127*FXs!$C$10</f>
        <v>0</v>
      </c>
      <c r="K127" s="20">
        <f>+IQR_results_usd!K127*FXs!$C$11</f>
        <v>0</v>
      </c>
    </row>
    <row r="128" spans="1:11">
      <c r="A128" s="5" t="s">
        <v>126</v>
      </c>
      <c r="B128" s="20">
        <f>+IQR_results_usd!B128*FXs!$C$2</f>
        <v>0</v>
      </c>
      <c r="C128" s="20">
        <f>+IQR_results_usd!C128*FXs!$C$3</f>
        <v>0</v>
      </c>
      <c r="D128" s="20">
        <f>+IQR_results_usd!D128*FXs!$C$4</f>
        <v>0</v>
      </c>
      <c r="E128" s="20">
        <f>+IQR_results_usd!E128*FXs!$C$5</f>
        <v>0</v>
      </c>
      <c r="F128" s="20">
        <f>+IQR_results_usd!F128*FXs!$C$6</f>
        <v>0</v>
      </c>
      <c r="G128" s="20">
        <f>+IQR_results_usd!G128*FXs!$C$7</f>
        <v>0</v>
      </c>
      <c r="H128" s="20">
        <f>+IQR_results_usd!H128*FXs!$C$8</f>
        <v>0</v>
      </c>
      <c r="I128" s="20">
        <f>+IQR_results_usd!I128*FXs!$C$9</f>
        <v>0</v>
      </c>
      <c r="J128" s="20">
        <f>+IQR_results_usd!J128*FXs!$C$10</f>
        <v>0</v>
      </c>
      <c r="K128" s="20">
        <f>+IQR_results_usd!K128*FXs!$C$11</f>
        <v>0</v>
      </c>
    </row>
    <row r="129" spans="1:11">
      <c r="A129" s="6" t="s">
        <v>127</v>
      </c>
      <c r="B129" s="20">
        <f>+IQR_results_usd!B129*FXs!$C$2</f>
        <v>0</v>
      </c>
      <c r="C129" s="20">
        <f>+IQR_results_usd!C129*FXs!$C$3</f>
        <v>0</v>
      </c>
      <c r="D129" s="20">
        <f>+IQR_results_usd!D129*FXs!$C$4</f>
        <v>0</v>
      </c>
      <c r="E129" s="20">
        <f>+IQR_results_usd!E129*FXs!$C$5</f>
        <v>0</v>
      </c>
      <c r="F129" s="20">
        <f>+IQR_results_usd!F129*FXs!$C$6</f>
        <v>0</v>
      </c>
      <c r="G129" s="20">
        <f>+IQR_results_usd!G129*FXs!$C$7</f>
        <v>0</v>
      </c>
      <c r="H129" s="20">
        <f>+IQR_results_usd!H129*FXs!$C$8</f>
        <v>0</v>
      </c>
      <c r="I129" s="20">
        <f>+IQR_results_usd!I129*FXs!$C$9</f>
        <v>0</v>
      </c>
      <c r="J129" s="20">
        <f>+IQR_results_usd!J129*FXs!$C$10</f>
        <v>0</v>
      </c>
      <c r="K129" s="20">
        <f>+IQR_results_usd!K129*FXs!$C$11</f>
        <v>0</v>
      </c>
    </row>
    <row r="130" spans="1:11">
      <c r="A130" s="5" t="s">
        <v>128</v>
      </c>
      <c r="B130" s="20">
        <f>+IQR_results_usd!B130*FXs!$C$2</f>
        <v>66580.593999999997</v>
      </c>
      <c r="C130" s="20">
        <f>+IQR_results_usd!C130*FXs!$C$3</f>
        <v>0</v>
      </c>
      <c r="D130" s="20">
        <f>+IQR_results_usd!D130*FXs!$C$4</f>
        <v>0</v>
      </c>
      <c r="E130" s="20">
        <f>+IQR_results_usd!E130*FXs!$C$5</f>
        <v>0</v>
      </c>
      <c r="F130" s="20">
        <f>+IQR_results_usd!F130*FXs!$C$6</f>
        <v>0</v>
      </c>
      <c r="G130" s="20">
        <f>+IQR_results_usd!G130*FXs!$C$7</f>
        <v>513573.75</v>
      </c>
      <c r="H130" s="20">
        <f>+IQR_results_usd!H130*FXs!$C$8</f>
        <v>50000</v>
      </c>
      <c r="I130" s="20">
        <f>+IQR_results_usd!I130*FXs!$C$9</f>
        <v>60906.191999999995</v>
      </c>
      <c r="J130" s="20">
        <f>+IQR_results_usd!J130*FXs!$C$10</f>
        <v>2031200.89</v>
      </c>
      <c r="K130" s="20">
        <f>+IQR_results_usd!K130*FXs!$C$11</f>
        <v>559341.00199999998</v>
      </c>
    </row>
    <row r="131" spans="1:11">
      <c r="A131" s="6" t="s">
        <v>129</v>
      </c>
      <c r="B131" s="20">
        <f>+IQR_results_usd!B131*FXs!$C$2</f>
        <v>0</v>
      </c>
      <c r="C131" s="20">
        <f>+IQR_results_usd!C131*FXs!$C$3</f>
        <v>0</v>
      </c>
      <c r="D131" s="20">
        <f>+IQR_results_usd!D131*FXs!$C$4</f>
        <v>0</v>
      </c>
      <c r="E131" s="20">
        <f>+IQR_results_usd!E131*FXs!$C$5</f>
        <v>0</v>
      </c>
      <c r="F131" s="20">
        <f>+IQR_results_usd!F131*FXs!$C$6</f>
        <v>0</v>
      </c>
      <c r="G131" s="20">
        <f>+IQR_results_usd!G131*FXs!$C$7</f>
        <v>0</v>
      </c>
      <c r="H131" s="20">
        <f>+IQR_results_usd!H131*FXs!$C$8</f>
        <v>0</v>
      </c>
      <c r="I131" s="20">
        <f>+IQR_results_usd!I131*FXs!$C$9</f>
        <v>0</v>
      </c>
      <c r="J131" s="20">
        <f>+IQR_results_usd!J131*FXs!$C$10</f>
        <v>0</v>
      </c>
      <c r="K131" s="20">
        <f>+IQR_results_usd!K131*FXs!$C$11</f>
        <v>0</v>
      </c>
    </row>
    <row r="132" spans="1:11">
      <c r="A132" s="5" t="s">
        <v>130</v>
      </c>
      <c r="B132" s="20">
        <f>+IQR_results_usd!B132*FXs!$C$2</f>
        <v>0</v>
      </c>
      <c r="C132" s="20">
        <f>+IQR_results_usd!C132*FXs!$C$3</f>
        <v>0</v>
      </c>
      <c r="D132" s="20">
        <f>+IQR_results_usd!D132*FXs!$C$4</f>
        <v>0</v>
      </c>
      <c r="E132" s="20">
        <f>+IQR_results_usd!E132*FXs!$C$5</f>
        <v>0</v>
      </c>
      <c r="F132" s="20">
        <f>+IQR_results_usd!F132*FXs!$C$6</f>
        <v>0</v>
      </c>
      <c r="G132" s="20">
        <f>+IQR_results_usd!G132*FXs!$C$7</f>
        <v>0</v>
      </c>
      <c r="H132" s="20">
        <f>+IQR_results_usd!H132*FXs!$C$8</f>
        <v>0</v>
      </c>
      <c r="I132" s="20">
        <f>+IQR_results_usd!I132*FXs!$C$9</f>
        <v>0</v>
      </c>
      <c r="J132" s="20">
        <f>+IQR_results_usd!J132*FXs!$C$10</f>
        <v>0</v>
      </c>
      <c r="K132" s="20">
        <f>+IQR_results_usd!K132*FXs!$C$11</f>
        <v>0</v>
      </c>
    </row>
    <row r="133" spans="1:11">
      <c r="A133" s="6" t="s">
        <v>131</v>
      </c>
      <c r="B133" s="20">
        <f>+IQR_results_usd!B133*FXs!$C$2</f>
        <v>0</v>
      </c>
      <c r="C133" s="20">
        <f>+IQR_results_usd!C133*FXs!$C$3</f>
        <v>0</v>
      </c>
      <c r="D133" s="20">
        <f>+IQR_results_usd!D133*FXs!$C$4</f>
        <v>0</v>
      </c>
      <c r="E133" s="20">
        <f>+IQR_results_usd!E133*FXs!$C$5</f>
        <v>0</v>
      </c>
      <c r="F133" s="20">
        <f>+IQR_results_usd!F133*FXs!$C$6</f>
        <v>0</v>
      </c>
      <c r="G133" s="20">
        <f>+IQR_results_usd!G133*FXs!$C$7</f>
        <v>0</v>
      </c>
      <c r="H133" s="20">
        <f>+IQR_results_usd!H133*FXs!$C$8</f>
        <v>0</v>
      </c>
      <c r="I133" s="20">
        <f>+IQR_results_usd!I133*FXs!$C$9</f>
        <v>0</v>
      </c>
      <c r="J133" s="20">
        <f>+IQR_results_usd!J133*FXs!$C$10</f>
        <v>0</v>
      </c>
      <c r="K133" s="20">
        <f>+IQR_results_usd!K133*FXs!$C$11</f>
        <v>0</v>
      </c>
    </row>
    <row r="134" spans="1:11">
      <c r="A134" s="5" t="s">
        <v>132</v>
      </c>
      <c r="B134" s="20">
        <f>+IQR_results_usd!B134*FXs!$C$2</f>
        <v>0</v>
      </c>
      <c r="C134" s="20">
        <f>+IQR_results_usd!C134*FXs!$C$3</f>
        <v>0</v>
      </c>
      <c r="D134" s="20">
        <f>+IQR_results_usd!D134*FXs!$C$4</f>
        <v>0</v>
      </c>
      <c r="E134" s="20">
        <f>+IQR_results_usd!E134*FXs!$C$5</f>
        <v>0</v>
      </c>
      <c r="F134" s="20">
        <f>+IQR_results_usd!F134*FXs!$C$6</f>
        <v>0</v>
      </c>
      <c r="G134" s="20">
        <f>+IQR_results_usd!G134*FXs!$C$7</f>
        <v>0</v>
      </c>
      <c r="H134" s="20">
        <f>+IQR_results_usd!H134*FXs!$C$8</f>
        <v>0</v>
      </c>
      <c r="I134" s="20">
        <f>+IQR_results_usd!I134*FXs!$C$9</f>
        <v>0</v>
      </c>
      <c r="J134" s="20">
        <f>+IQR_results_usd!J134*FXs!$C$10</f>
        <v>0</v>
      </c>
      <c r="K134" s="20">
        <f>+IQR_results_usd!K134*FXs!$C$11</f>
        <v>0</v>
      </c>
    </row>
    <row r="135" spans="1:11">
      <c r="A135" s="7" t="s">
        <v>133</v>
      </c>
      <c r="B135" s="20">
        <f>+IQR_results_usd!B135*FXs!$C$2</f>
        <v>137835.41800000001</v>
      </c>
      <c r="C135" s="20">
        <f>+IQR_results_usd!C135*FXs!$C$3</f>
        <v>195970.61299999998</v>
      </c>
      <c r="D135" s="20">
        <f>+IQR_results_usd!D135*FXs!$C$4</f>
        <v>287378.78100000002</v>
      </c>
      <c r="E135" s="20">
        <f>+IQR_results_usd!E135*FXs!$C$5</f>
        <v>397149.56900000002</v>
      </c>
      <c r="F135" s="20">
        <f>+IQR_results_usd!F135*FXs!$C$6</f>
        <v>351519.13900000002</v>
      </c>
      <c r="G135" s="20">
        <f>+IQR_results_usd!G135*FXs!$C$7</f>
        <v>513573.75</v>
      </c>
      <c r="H135" s="20">
        <f>+IQR_results_usd!H135*FXs!$C$8</f>
        <v>878520.897</v>
      </c>
      <c r="I135" s="20">
        <f>+IQR_results_usd!I135*FXs!$C$9</f>
        <v>1694028.743</v>
      </c>
      <c r="J135" s="20">
        <f>+IQR_results_usd!J135*FXs!$C$10</f>
        <v>2420458.9950000001</v>
      </c>
      <c r="K135" s="20">
        <f>+IQR_results_usd!K135*FXs!$C$11</f>
        <v>559341.00199999998</v>
      </c>
    </row>
    <row r="136" spans="1:11">
      <c r="A136" s="5" t="s">
        <v>134</v>
      </c>
      <c r="B136" s="20">
        <f>+IQR_results_usd!B136*FXs!$C$2</f>
        <v>0</v>
      </c>
      <c r="C136" s="20">
        <f>+IQR_results_usd!C136*FXs!$C$3</f>
        <v>0</v>
      </c>
      <c r="D136" s="20">
        <f>+IQR_results_usd!D136*FXs!$C$4</f>
        <v>0</v>
      </c>
      <c r="E136" s="20">
        <f>+IQR_results_usd!E136*FXs!$C$5</f>
        <v>0</v>
      </c>
      <c r="F136" s="20">
        <f>+IQR_results_usd!F136*FXs!$C$6</f>
        <v>0</v>
      </c>
      <c r="G136" s="20">
        <f>+IQR_results_usd!G136*FXs!$C$7</f>
        <v>0</v>
      </c>
      <c r="H136" s="20">
        <f>+IQR_results_usd!H136*FXs!$C$8</f>
        <v>0</v>
      </c>
      <c r="I136" s="20">
        <f>+IQR_results_usd!I136*FXs!$C$9</f>
        <v>0</v>
      </c>
      <c r="J136" s="20">
        <f>+IQR_results_usd!J136*FXs!$C$10</f>
        <v>0</v>
      </c>
      <c r="K136" s="20">
        <f>+IQR_results_usd!K136*FXs!$C$11</f>
        <v>0</v>
      </c>
    </row>
    <row r="137" spans="1:11">
      <c r="A137" s="6" t="s">
        <v>135</v>
      </c>
      <c r="B137" s="20">
        <f>+IQR_results_usd!B137*FXs!$C$2</f>
        <v>0</v>
      </c>
      <c r="C137" s="20">
        <f>+IQR_results_usd!C137*FXs!$C$3</f>
        <v>0</v>
      </c>
      <c r="D137" s="20">
        <f>+IQR_results_usd!D137*FXs!$C$4</f>
        <v>0</v>
      </c>
      <c r="E137" s="20">
        <f>+IQR_results_usd!E137*FXs!$C$5</f>
        <v>0</v>
      </c>
      <c r="F137" s="20">
        <f>+IQR_results_usd!F137*FXs!$C$6</f>
        <v>0</v>
      </c>
      <c r="G137" s="20">
        <f>+IQR_results_usd!G137*FXs!$C$7</f>
        <v>0</v>
      </c>
      <c r="H137" s="20">
        <f>+IQR_results_usd!H137*FXs!$C$8</f>
        <v>0</v>
      </c>
      <c r="I137" s="20">
        <f>+IQR_results_usd!I137*FXs!$C$9</f>
        <v>0</v>
      </c>
      <c r="J137" s="20">
        <f>+IQR_results_usd!J137*FXs!$C$10</f>
        <v>0</v>
      </c>
      <c r="K137" s="20">
        <f>+IQR_results_usd!K137*FXs!$C$11</f>
        <v>0</v>
      </c>
    </row>
    <row r="138" spans="1:11">
      <c r="A138" s="7" t="s">
        <v>136</v>
      </c>
      <c r="B138" s="20">
        <f>+IQR_results_usd!B138*FXs!$C$2</f>
        <v>0</v>
      </c>
      <c r="C138" s="20">
        <f>+IQR_results_usd!C138*FXs!$C$3</f>
        <v>0</v>
      </c>
      <c r="D138" s="20">
        <f>+IQR_results_usd!D138*FXs!$C$4</f>
        <v>0</v>
      </c>
      <c r="E138" s="20">
        <f>+IQR_results_usd!E138*FXs!$C$5</f>
        <v>0</v>
      </c>
      <c r="F138" s="20">
        <f>+IQR_results_usd!F138*FXs!$C$6</f>
        <v>0</v>
      </c>
      <c r="G138" s="20">
        <f>+IQR_results_usd!G138*FXs!$C$7</f>
        <v>0</v>
      </c>
      <c r="H138" s="20">
        <f>+IQR_results_usd!H138*FXs!$C$8</f>
        <v>0</v>
      </c>
      <c r="I138" s="20">
        <f>+IQR_results_usd!I138*FXs!$C$9</f>
        <v>0</v>
      </c>
      <c r="J138" s="20">
        <f>+IQR_results_usd!J138*FXs!$C$10</f>
        <v>0</v>
      </c>
      <c r="K138" s="20">
        <f>+IQR_results_usd!K138*FXs!$C$11</f>
        <v>0</v>
      </c>
    </row>
    <row r="139" spans="1:11">
      <c r="A139" s="6" t="s">
        <v>137</v>
      </c>
      <c r="B139" s="20">
        <f>+IQR_results_usd!B139*FXs!$C$2</f>
        <v>28817.929</v>
      </c>
      <c r="C139" s="20">
        <f>+IQR_results_usd!C139*FXs!$C$3</f>
        <v>34973.101000000002</v>
      </c>
      <c r="D139" s="20">
        <f>+IQR_results_usd!D139*FXs!$C$4</f>
        <v>31170.337</v>
      </c>
      <c r="E139" s="20">
        <f>+IQR_results_usd!E139*FXs!$C$5</f>
        <v>60249.722000000002</v>
      </c>
      <c r="F139" s="20">
        <f>+IQR_results_usd!F139*FXs!$C$6</f>
        <v>69982.236999999994</v>
      </c>
      <c r="G139" s="20">
        <f>+IQR_results_usd!G139*FXs!$C$7</f>
        <v>69955.082999999999</v>
      </c>
      <c r="H139" s="20">
        <f>+IQR_results_usd!H139*FXs!$C$8</f>
        <v>74923.508000000002</v>
      </c>
      <c r="I139" s="20">
        <f>+IQR_results_usd!I139*FXs!$C$9</f>
        <v>327650.38500000001</v>
      </c>
      <c r="J139" s="20">
        <f>+IQR_results_usd!J139*FXs!$C$10</f>
        <v>298132.07400000002</v>
      </c>
      <c r="K139" s="20">
        <f>+IQR_results_usd!K139*FXs!$C$11</f>
        <v>681483.58412103693</v>
      </c>
    </row>
    <row r="140" spans="1:11">
      <c r="A140" s="7" t="s">
        <v>138</v>
      </c>
      <c r="B140" s="20">
        <f>+IQR_results_usd!B140*FXs!$C$2</f>
        <v>28817.929</v>
      </c>
      <c r="C140" s="20">
        <f>+IQR_results_usd!C140*FXs!$C$3</f>
        <v>34973.101000000002</v>
      </c>
      <c r="D140" s="20">
        <f>+IQR_results_usd!D140*FXs!$C$4</f>
        <v>31170.337</v>
      </c>
      <c r="E140" s="20">
        <f>+IQR_results_usd!E140*FXs!$C$5</f>
        <v>60249.722000000002</v>
      </c>
      <c r="F140" s="20">
        <f>+IQR_results_usd!F140*FXs!$C$6</f>
        <v>69982.236999999994</v>
      </c>
      <c r="G140" s="20">
        <f>+IQR_results_usd!G140*FXs!$C$7</f>
        <v>69955.082999999999</v>
      </c>
      <c r="H140" s="20">
        <f>+IQR_results_usd!H140*FXs!$C$8</f>
        <v>74923.508000000002</v>
      </c>
      <c r="I140" s="20">
        <f>+IQR_results_usd!I140*FXs!$C$9</f>
        <v>327650.38500000001</v>
      </c>
      <c r="J140" s="20">
        <f>+IQR_results_usd!J140*FXs!$C$10</f>
        <v>298132.07400000002</v>
      </c>
      <c r="K140" s="20">
        <f>+IQR_results_usd!K140*FXs!$C$11</f>
        <v>681483.58412103693</v>
      </c>
    </row>
    <row r="141" spans="1:11">
      <c r="A141" s="6" t="s">
        <v>139</v>
      </c>
      <c r="B141" s="20">
        <f>+IQR_results_usd!B141*FXs!$C$2</f>
        <v>0</v>
      </c>
      <c r="C141" s="20">
        <f>+IQR_results_usd!C141*FXs!$C$3</f>
        <v>0</v>
      </c>
      <c r="D141" s="20">
        <f>+IQR_results_usd!D141*FXs!$C$4</f>
        <v>0</v>
      </c>
      <c r="E141" s="20">
        <f>+IQR_results_usd!E141*FXs!$C$5</f>
        <v>0</v>
      </c>
      <c r="F141" s="20">
        <f>+IQR_results_usd!F141*FXs!$C$6</f>
        <v>0</v>
      </c>
      <c r="G141" s="20">
        <f>+IQR_results_usd!G141*FXs!$C$7</f>
        <v>0</v>
      </c>
      <c r="H141" s="20">
        <f>+IQR_results_usd!H141*FXs!$C$8</f>
        <v>0</v>
      </c>
      <c r="I141" s="20">
        <f>+IQR_results_usd!I141*FXs!$C$9</f>
        <v>0</v>
      </c>
      <c r="J141" s="20">
        <f>+IQR_results_usd!J141*FXs!$C$10</f>
        <v>0</v>
      </c>
      <c r="K141" s="20">
        <f>+IQR_results_usd!K141*FXs!$C$11</f>
        <v>0</v>
      </c>
    </row>
    <row r="142" spans="1:11">
      <c r="A142" s="5" t="s">
        <v>140</v>
      </c>
      <c r="B142" s="20">
        <f>+IQR_results_usd!B142*FXs!$C$2</f>
        <v>8.8539999999999992</v>
      </c>
      <c r="C142" s="20">
        <f>+IQR_results_usd!C142*FXs!$C$3</f>
        <v>2.71</v>
      </c>
      <c r="D142" s="20">
        <f>+IQR_results_usd!D142*FXs!$C$4</f>
        <v>244.31299999999999</v>
      </c>
      <c r="E142" s="20">
        <f>+IQR_results_usd!E142*FXs!$C$5</f>
        <v>16.763999999999999</v>
      </c>
      <c r="F142" s="20">
        <f>+IQR_results_usd!F142*FXs!$C$6</f>
        <v>97.444000000000017</v>
      </c>
      <c r="G142" s="20">
        <f>+IQR_results_usd!G142*FXs!$C$7</f>
        <v>1428.095</v>
      </c>
      <c r="H142" s="20">
        <f>+IQR_results_usd!H142*FXs!$C$8</f>
        <v>432.83699999999999</v>
      </c>
      <c r="I142" s="20">
        <f>+IQR_results_usd!I142*FXs!$C$9</f>
        <v>14494.111999999999</v>
      </c>
      <c r="J142" s="20">
        <f>+IQR_results_usd!J142*FXs!$C$10</f>
        <v>15981.266</v>
      </c>
      <c r="K142" s="20">
        <f>+IQR_results_usd!K142*FXs!$C$11</f>
        <v>63430.095851616483</v>
      </c>
    </row>
    <row r="143" spans="1:11">
      <c r="A143" s="6" t="s">
        <v>141</v>
      </c>
      <c r="B143" s="20">
        <f>+IQR_results_usd!B143*FXs!$C$2</f>
        <v>8907.91</v>
      </c>
      <c r="C143" s="20">
        <f>+IQR_results_usd!C143*FXs!$C$3</f>
        <v>12305.418</v>
      </c>
      <c r="D143" s="20">
        <f>+IQR_results_usd!D143*FXs!$C$4</f>
        <v>28379.144</v>
      </c>
      <c r="E143" s="20">
        <f>+IQR_results_usd!E143*FXs!$C$5</f>
        <v>32065.398000000005</v>
      </c>
      <c r="F143" s="20">
        <f>+IQR_results_usd!F143*FXs!$C$6</f>
        <v>28938.883999999998</v>
      </c>
      <c r="G143" s="20">
        <f>+IQR_results_usd!G143*FXs!$C$7</f>
        <v>40417.360999999997</v>
      </c>
      <c r="H143" s="20">
        <f>+IQR_results_usd!H143*FXs!$C$8</f>
        <v>53025.264999999999</v>
      </c>
      <c r="I143" s="20">
        <f>+IQR_results_usd!I143*FXs!$C$9</f>
        <v>465321.74650802347</v>
      </c>
      <c r="J143" s="20">
        <f>+IQR_results_usd!J143*FXs!$C$10</f>
        <v>724625.8652110718</v>
      </c>
      <c r="K143" s="20">
        <f>+IQR_results_usd!K143*FXs!$C$11</f>
        <v>350538.82199999999</v>
      </c>
    </row>
    <row r="144" spans="1:11">
      <c r="A144" s="5" t="s">
        <v>142</v>
      </c>
      <c r="B144" s="20">
        <f>+IQR_results_usd!B144*FXs!$C$2</f>
        <v>0</v>
      </c>
      <c r="C144" s="20">
        <f>+IQR_results_usd!C144*FXs!$C$3</f>
        <v>17300.327000000001</v>
      </c>
      <c r="D144" s="20">
        <f>+IQR_results_usd!D144*FXs!$C$4</f>
        <v>22459.636999999999</v>
      </c>
      <c r="E144" s="20">
        <f>+IQR_results_usd!E144*FXs!$C$5</f>
        <v>26361.579000000005</v>
      </c>
      <c r="F144" s="20">
        <f>+IQR_results_usd!F144*FXs!$C$6</f>
        <v>37088.118000000002</v>
      </c>
      <c r="G144" s="20">
        <f>+IQR_results_usd!G144*FXs!$C$7</f>
        <v>56454.760999999999</v>
      </c>
      <c r="H144" s="20">
        <f>+IQR_results_usd!H144*FXs!$C$8</f>
        <v>67818.55</v>
      </c>
      <c r="I144" s="20">
        <f>+IQR_results_usd!I144*FXs!$C$9</f>
        <v>242565.55</v>
      </c>
      <c r="J144" s="20">
        <f>+IQR_results_usd!J144*FXs!$C$10</f>
        <v>400388.79603611544</v>
      </c>
      <c r="K144" s="20">
        <f>+IQR_results_usd!K144*FXs!$C$11</f>
        <v>237293.87899999999</v>
      </c>
    </row>
    <row r="145" spans="1:11">
      <c r="A145" s="6" t="s">
        <v>143</v>
      </c>
      <c r="B145" s="20">
        <f>+IQR_results_usd!B145*FXs!$C$2</f>
        <v>0</v>
      </c>
      <c r="C145" s="20">
        <f>+IQR_results_usd!C145*FXs!$C$3</f>
        <v>0</v>
      </c>
      <c r="D145" s="20">
        <f>+IQR_results_usd!D145*FXs!$C$4</f>
        <v>0</v>
      </c>
      <c r="E145" s="20">
        <f>+IQR_results_usd!E145*FXs!$C$5</f>
        <v>0</v>
      </c>
      <c r="F145" s="20">
        <f>+IQR_results_usd!F145*FXs!$C$6</f>
        <v>0</v>
      </c>
      <c r="G145" s="20">
        <f>+IQR_results_usd!G145*FXs!$C$7</f>
        <v>0</v>
      </c>
      <c r="H145" s="20">
        <f>+IQR_results_usd!H145*FXs!$C$8</f>
        <v>0</v>
      </c>
      <c r="I145" s="20">
        <f>+IQR_results_usd!I145*FXs!$C$9</f>
        <v>0</v>
      </c>
      <c r="J145" s="20">
        <f>+IQR_results_usd!J145*FXs!$C$10</f>
        <v>0</v>
      </c>
      <c r="K145" s="20">
        <f>+IQR_results_usd!K145*FXs!$C$11</f>
        <v>0</v>
      </c>
    </row>
    <row r="146" spans="1:11">
      <c r="A146" s="5" t="s">
        <v>144</v>
      </c>
      <c r="B146" s="20">
        <f>+IQR_results_usd!B146*FXs!$C$2</f>
        <v>0</v>
      </c>
      <c r="C146" s="20">
        <f>+IQR_results_usd!C146*FXs!$C$3</f>
        <v>3000.6329999999998</v>
      </c>
      <c r="D146" s="20">
        <f>+IQR_results_usd!D146*FXs!$C$4</f>
        <v>1612.73</v>
      </c>
      <c r="E146" s="20">
        <f>+IQR_results_usd!E146*FXs!$C$5</f>
        <v>4232.6450000000004</v>
      </c>
      <c r="F146" s="20">
        <f>+IQR_results_usd!F146*FXs!$C$6</f>
        <v>1883.2329999999997</v>
      </c>
      <c r="G146" s="20">
        <f>+IQR_results_usd!G146*FXs!$C$7</f>
        <v>3078.212</v>
      </c>
      <c r="H146" s="20">
        <f>+IQR_results_usd!H146*FXs!$C$8</f>
        <v>3821.049</v>
      </c>
      <c r="I146" s="20">
        <f>+IQR_results_usd!I146*FXs!$C$9</f>
        <v>44976.631430699628</v>
      </c>
      <c r="J146" s="20">
        <f>+IQR_results_usd!J146*FXs!$C$10</f>
        <v>24902.275000000001</v>
      </c>
      <c r="K146" s="20">
        <f>+IQR_results_usd!K146*FXs!$C$11</f>
        <v>49800.336000000003</v>
      </c>
    </row>
    <row r="147" spans="1:11">
      <c r="A147" s="6" t="s">
        <v>145</v>
      </c>
      <c r="B147" s="20">
        <f>+IQR_results_usd!B147*FXs!$C$2</f>
        <v>0</v>
      </c>
      <c r="C147" s="20">
        <f>+IQR_results_usd!C147*FXs!$C$3</f>
        <v>0</v>
      </c>
      <c r="D147" s="20">
        <f>+IQR_results_usd!D147*FXs!$C$4</f>
        <v>0</v>
      </c>
      <c r="E147" s="20">
        <f>+IQR_results_usd!E147*FXs!$C$5</f>
        <v>0</v>
      </c>
      <c r="F147" s="20">
        <f>+IQR_results_usd!F147*FXs!$C$6</f>
        <v>0</v>
      </c>
      <c r="G147" s="20">
        <f>+IQR_results_usd!G147*FXs!$C$7</f>
        <v>0</v>
      </c>
      <c r="H147" s="20">
        <f>+IQR_results_usd!H147*FXs!$C$8</f>
        <v>0</v>
      </c>
      <c r="I147" s="20">
        <f>+IQR_results_usd!I147*FXs!$C$9</f>
        <v>0</v>
      </c>
      <c r="J147" s="20">
        <f>+IQR_results_usd!J147*FXs!$C$10</f>
        <v>0</v>
      </c>
      <c r="K147" s="20">
        <f>+IQR_results_usd!K147*FXs!$C$11</f>
        <v>0</v>
      </c>
    </row>
    <row r="148" spans="1:11">
      <c r="A148" s="5" t="s">
        <v>146</v>
      </c>
      <c r="B148" s="20">
        <f>+IQR_results_usd!B148*FXs!$C$2</f>
        <v>0</v>
      </c>
      <c r="C148" s="20">
        <f>+IQR_results_usd!C148*FXs!$C$3</f>
        <v>0</v>
      </c>
      <c r="D148" s="20">
        <f>+IQR_results_usd!D148*FXs!$C$4</f>
        <v>2801.2539999999999</v>
      </c>
      <c r="E148" s="20">
        <f>+IQR_results_usd!E148*FXs!$C$5</f>
        <v>2006.5779999999997</v>
      </c>
      <c r="F148" s="20">
        <f>+IQR_results_usd!F148*FXs!$C$6</f>
        <v>2623.6709999999998</v>
      </c>
      <c r="G148" s="20">
        <f>+IQR_results_usd!G148*FXs!$C$7</f>
        <v>1662.105</v>
      </c>
      <c r="H148" s="20">
        <f>+IQR_results_usd!H148*FXs!$C$8</f>
        <v>4254.51</v>
      </c>
      <c r="I148" s="20">
        <f>+IQR_results_usd!I148*FXs!$C$9</f>
        <v>17286.121999999999</v>
      </c>
      <c r="J148" s="20">
        <f>+IQR_results_usd!J148*FXs!$C$10</f>
        <v>34100.006999999998</v>
      </c>
      <c r="K148" s="20">
        <f>+IQR_results_usd!K148*FXs!$C$11</f>
        <v>27460.11</v>
      </c>
    </row>
    <row r="149" spans="1:11">
      <c r="A149" s="6" t="s">
        <v>147</v>
      </c>
      <c r="B149" s="20">
        <f>+IQR_results_usd!B149*FXs!$C$2</f>
        <v>0</v>
      </c>
      <c r="C149" s="20">
        <f>+IQR_results_usd!C149*FXs!$C$3</f>
        <v>0</v>
      </c>
      <c r="D149" s="20">
        <f>+IQR_results_usd!D149*FXs!$C$4</f>
        <v>0</v>
      </c>
      <c r="E149" s="20">
        <f>+IQR_results_usd!E149*FXs!$C$5</f>
        <v>0</v>
      </c>
      <c r="F149" s="20">
        <f>+IQR_results_usd!F149*FXs!$C$6</f>
        <v>0</v>
      </c>
      <c r="G149" s="20">
        <f>+IQR_results_usd!G149*FXs!$C$7</f>
        <v>0</v>
      </c>
      <c r="H149" s="20">
        <f>+IQR_results_usd!H149*FXs!$C$8</f>
        <v>0</v>
      </c>
      <c r="I149" s="20">
        <f>+IQR_results_usd!I149*FXs!$C$9</f>
        <v>0</v>
      </c>
      <c r="J149" s="20">
        <f>+IQR_results_usd!J149*FXs!$C$10</f>
        <v>0</v>
      </c>
      <c r="K149" s="20">
        <f>+IQR_results_usd!K149*FXs!$C$11</f>
        <v>0</v>
      </c>
    </row>
    <row r="150" spans="1:11">
      <c r="A150" s="5" t="s">
        <v>148</v>
      </c>
      <c r="B150" s="20">
        <f>+IQR_results_usd!B150*FXs!$C$2</f>
        <v>2170.94</v>
      </c>
      <c r="C150" s="20">
        <f>+IQR_results_usd!C150*FXs!$C$3</f>
        <v>2241.7660000000001</v>
      </c>
      <c r="D150" s="20">
        <f>+IQR_results_usd!D150*FXs!$C$4</f>
        <v>2338.9059999999999</v>
      </c>
      <c r="E150" s="20">
        <f>+IQR_results_usd!E150*FXs!$C$5</f>
        <v>438.34100000000001</v>
      </c>
      <c r="F150" s="20">
        <f>+IQR_results_usd!F150*FXs!$C$6</f>
        <v>5454.3980000000001</v>
      </c>
      <c r="G150" s="20">
        <f>+IQR_results_usd!G150*FXs!$C$7</f>
        <v>0</v>
      </c>
      <c r="H150" s="20">
        <f>+IQR_results_usd!H150*FXs!$C$8</f>
        <v>7142.7610000000013</v>
      </c>
      <c r="I150" s="20">
        <f>+IQR_results_usd!I150*FXs!$C$9</f>
        <v>0</v>
      </c>
      <c r="J150" s="20">
        <f>+IQR_results_usd!J150*FXs!$C$10</f>
        <v>0</v>
      </c>
      <c r="K150" s="20">
        <f>+IQR_results_usd!K150*FXs!$C$11</f>
        <v>56832.031999999992</v>
      </c>
    </row>
    <row r="151" spans="1:11">
      <c r="A151" s="6" t="s">
        <v>149</v>
      </c>
      <c r="B151" s="20">
        <f>+IQR_results_usd!B151*FXs!$C$2</f>
        <v>0</v>
      </c>
      <c r="C151" s="20">
        <f>+IQR_results_usd!C151*FXs!$C$3</f>
        <v>0</v>
      </c>
      <c r="D151" s="20">
        <f>+IQR_results_usd!D151*FXs!$C$4</f>
        <v>0</v>
      </c>
      <c r="E151" s="20">
        <f>+IQR_results_usd!E151*FXs!$C$5</f>
        <v>0</v>
      </c>
      <c r="F151" s="20">
        <f>+IQR_results_usd!F151*FXs!$C$6</f>
        <v>0</v>
      </c>
      <c r="G151" s="20">
        <f>+IQR_results_usd!G151*FXs!$C$7</f>
        <v>0</v>
      </c>
      <c r="H151" s="20">
        <f>+IQR_results_usd!H151*FXs!$C$8</f>
        <v>0</v>
      </c>
      <c r="I151" s="20">
        <f>+IQR_results_usd!I151*FXs!$C$9</f>
        <v>0</v>
      </c>
      <c r="J151" s="20">
        <f>+IQR_results_usd!J151*FXs!$C$10</f>
        <v>0</v>
      </c>
      <c r="K151" s="20">
        <f>+IQR_results_usd!K151*FXs!$C$11</f>
        <v>0</v>
      </c>
    </row>
    <row r="152" spans="1:11">
      <c r="A152" s="5" t="s">
        <v>150</v>
      </c>
      <c r="B152" s="20">
        <f>+IQR_results_usd!B152*FXs!$C$2</f>
        <v>0</v>
      </c>
      <c r="C152" s="20">
        <f>+IQR_results_usd!C152*FXs!$C$3</f>
        <v>0</v>
      </c>
      <c r="D152" s="20">
        <f>+IQR_results_usd!D152*FXs!$C$4</f>
        <v>0</v>
      </c>
      <c r="E152" s="20">
        <f>+IQR_results_usd!E152*FXs!$C$5</f>
        <v>0</v>
      </c>
      <c r="F152" s="20">
        <f>+IQR_results_usd!F152*FXs!$C$6</f>
        <v>0</v>
      </c>
      <c r="G152" s="20">
        <f>+IQR_results_usd!G152*FXs!$C$7</f>
        <v>0</v>
      </c>
      <c r="H152" s="20">
        <f>+IQR_results_usd!H152*FXs!$C$8</f>
        <v>0</v>
      </c>
      <c r="I152" s="20">
        <f>+IQR_results_usd!I152*FXs!$C$9</f>
        <v>0</v>
      </c>
      <c r="J152" s="20">
        <f>+IQR_results_usd!J152*FXs!$C$10</f>
        <v>0</v>
      </c>
      <c r="K152" s="20">
        <f>+IQR_results_usd!K152*FXs!$C$11</f>
        <v>0</v>
      </c>
    </row>
    <row r="153" spans="1:11">
      <c r="A153" s="6" t="s">
        <v>151</v>
      </c>
      <c r="B153" s="20">
        <f>+IQR_results_usd!B153*FXs!$C$2</f>
        <v>0</v>
      </c>
      <c r="C153" s="20">
        <f>+IQR_results_usd!C153*FXs!$C$3</f>
        <v>0</v>
      </c>
      <c r="D153" s="20">
        <f>+IQR_results_usd!D153*FXs!$C$4</f>
        <v>0</v>
      </c>
      <c r="E153" s="20">
        <f>+IQR_results_usd!E153*FXs!$C$5</f>
        <v>0</v>
      </c>
      <c r="F153" s="20">
        <f>+IQR_results_usd!F153*FXs!$C$6</f>
        <v>0</v>
      </c>
      <c r="G153" s="20">
        <f>+IQR_results_usd!G153*FXs!$C$7</f>
        <v>0</v>
      </c>
      <c r="H153" s="20">
        <f>+IQR_results_usd!H153*FXs!$C$8</f>
        <v>0</v>
      </c>
      <c r="I153" s="20">
        <f>+IQR_results_usd!I153*FXs!$C$9</f>
        <v>0</v>
      </c>
      <c r="J153" s="20">
        <f>+IQR_results_usd!J153*FXs!$C$10</f>
        <v>0</v>
      </c>
      <c r="K153" s="20">
        <f>+IQR_results_usd!K153*FXs!$C$11</f>
        <v>0</v>
      </c>
    </row>
    <row r="154" spans="1:11">
      <c r="A154" s="5" t="s">
        <v>152</v>
      </c>
      <c r="B154" s="20">
        <f>+IQR_results_usd!B154*FXs!$C$2</f>
        <v>10.148</v>
      </c>
      <c r="C154" s="20">
        <f>+IQR_results_usd!C154*FXs!$C$3</f>
        <v>74.266999999999996</v>
      </c>
      <c r="D154" s="20">
        <f>+IQR_results_usd!D154*FXs!$C$4</f>
        <v>131.91499999999999</v>
      </c>
      <c r="E154" s="20">
        <f>+IQR_results_usd!E154*FXs!$C$5</f>
        <v>4473.9939999999997</v>
      </c>
      <c r="F154" s="20">
        <f>+IQR_results_usd!F154*FXs!$C$6</f>
        <v>6014.4229999999998</v>
      </c>
      <c r="G154" s="20">
        <f>+IQR_results_usd!G154*FXs!$C$7</f>
        <v>4304.7979999999998</v>
      </c>
      <c r="H154" s="20">
        <f>+IQR_results_usd!H154*FXs!$C$8</f>
        <v>12495.32</v>
      </c>
      <c r="I154" s="20">
        <f>+IQR_results_usd!I154*FXs!$C$9</f>
        <v>20214.020000000004</v>
      </c>
      <c r="J154" s="20">
        <f>+IQR_results_usd!J154*FXs!$C$10</f>
        <v>40475.231</v>
      </c>
      <c r="K154" s="20">
        <f>+IQR_results_usd!K154*FXs!$C$11</f>
        <v>64225.24</v>
      </c>
    </row>
    <row r="155" spans="1:11">
      <c r="A155" s="6" t="s">
        <v>153</v>
      </c>
      <c r="B155" s="20">
        <f>+IQR_results_usd!B155*FXs!$C$2</f>
        <v>0</v>
      </c>
      <c r="C155" s="20">
        <f>+IQR_results_usd!C155*FXs!$C$3</f>
        <v>0</v>
      </c>
      <c r="D155" s="20">
        <f>+IQR_results_usd!D155*FXs!$C$4</f>
        <v>0</v>
      </c>
      <c r="E155" s="20">
        <f>+IQR_results_usd!E155*FXs!$C$5</f>
        <v>0</v>
      </c>
      <c r="F155" s="20">
        <f>+IQR_results_usd!F155*FXs!$C$6</f>
        <v>0</v>
      </c>
      <c r="G155" s="20">
        <f>+IQR_results_usd!G155*FXs!$C$7</f>
        <v>0</v>
      </c>
      <c r="H155" s="20">
        <f>+IQR_results_usd!H155*FXs!$C$8</f>
        <v>0</v>
      </c>
      <c r="I155" s="20">
        <f>+IQR_results_usd!I155*FXs!$C$9</f>
        <v>0</v>
      </c>
      <c r="J155" s="20">
        <f>+IQR_results_usd!J155*FXs!$C$10</f>
        <v>0</v>
      </c>
      <c r="K155" s="20">
        <f>+IQR_results_usd!K155*FXs!$C$11</f>
        <v>0</v>
      </c>
    </row>
    <row r="156" spans="1:11">
      <c r="A156" s="5" t="s">
        <v>154</v>
      </c>
      <c r="B156" s="20">
        <f>+IQR_results_usd!B156*FXs!$C$2</f>
        <v>0</v>
      </c>
      <c r="C156" s="20">
        <f>+IQR_results_usd!C156*FXs!$C$3</f>
        <v>0</v>
      </c>
      <c r="D156" s="20">
        <f>+IQR_results_usd!D156*FXs!$C$4</f>
        <v>0</v>
      </c>
      <c r="E156" s="20">
        <f>+IQR_results_usd!E156*FXs!$C$5</f>
        <v>0</v>
      </c>
      <c r="F156" s="20">
        <f>+IQR_results_usd!F156*FXs!$C$6</f>
        <v>0</v>
      </c>
      <c r="G156" s="20">
        <f>+IQR_results_usd!G156*FXs!$C$7</f>
        <v>0</v>
      </c>
      <c r="H156" s="20">
        <f>+IQR_results_usd!H156*FXs!$C$8</f>
        <v>0</v>
      </c>
      <c r="I156" s="20">
        <f>+IQR_results_usd!I156*FXs!$C$9</f>
        <v>0</v>
      </c>
      <c r="J156" s="20">
        <f>+IQR_results_usd!J156*FXs!$C$10</f>
        <v>0</v>
      </c>
      <c r="K156" s="20">
        <f>+IQR_results_usd!K156*FXs!$C$11</f>
        <v>0</v>
      </c>
    </row>
    <row r="157" spans="1:11">
      <c r="A157" s="6" t="s">
        <v>155</v>
      </c>
      <c r="B157" s="20">
        <f>+IQR_results_usd!B157*FXs!$C$2</f>
        <v>0</v>
      </c>
      <c r="C157" s="20">
        <f>+IQR_results_usd!C157*FXs!$C$3</f>
        <v>0</v>
      </c>
      <c r="D157" s="20">
        <f>+IQR_results_usd!D157*FXs!$C$4</f>
        <v>0</v>
      </c>
      <c r="E157" s="20">
        <f>+IQR_results_usd!E157*FXs!$C$5</f>
        <v>0</v>
      </c>
      <c r="F157" s="20">
        <f>+IQR_results_usd!F157*FXs!$C$6</f>
        <v>0</v>
      </c>
      <c r="G157" s="20">
        <f>+IQR_results_usd!G157*FXs!$C$7</f>
        <v>0</v>
      </c>
      <c r="H157" s="20">
        <f>+IQR_results_usd!H157*FXs!$C$8</f>
        <v>0</v>
      </c>
      <c r="I157" s="20">
        <f>+IQR_results_usd!I157*FXs!$C$9</f>
        <v>0</v>
      </c>
      <c r="J157" s="20">
        <f>+IQR_results_usd!J157*FXs!$C$10</f>
        <v>0</v>
      </c>
      <c r="K157" s="20">
        <f>+IQR_results_usd!K157*FXs!$C$11</f>
        <v>0</v>
      </c>
    </row>
    <row r="158" spans="1:11">
      <c r="A158" s="7" t="s">
        <v>140</v>
      </c>
      <c r="B158" s="20">
        <f>+IQR_results_usd!B158*FXs!$C$2</f>
        <v>11097.851999999999</v>
      </c>
      <c r="C158" s="20">
        <f>+IQR_results_usd!C158*FXs!$C$3</f>
        <v>34925.121000000006</v>
      </c>
      <c r="D158" s="20">
        <f>+IQR_results_usd!D158*FXs!$C$4</f>
        <v>57967.899000000005</v>
      </c>
      <c r="E158" s="20">
        <f>+IQR_results_usd!E158*FXs!$C$5</f>
        <v>69595.298999999999</v>
      </c>
      <c r="F158" s="20">
        <f>+IQR_results_usd!F158*FXs!$C$6</f>
        <v>82100.170999999988</v>
      </c>
      <c r="G158" s="20">
        <f>+IQR_results_usd!G158*FXs!$C$7</f>
        <v>107345.33199999999</v>
      </c>
      <c r="H158" s="20">
        <f>+IQR_results_usd!H158*FXs!$C$8</f>
        <v>148990.29200000002</v>
      </c>
      <c r="I158" s="20">
        <f>+IQR_results_usd!I158*FXs!$C$9</f>
        <v>1102473.8230000001</v>
      </c>
      <c r="J158" s="20">
        <f>+IQR_results_usd!J158*FXs!$C$10</f>
        <v>1410411.4749999996</v>
      </c>
      <c r="K158" s="20">
        <f>+IQR_results_usd!K158*FXs!$C$11</f>
        <v>970158.76400000008</v>
      </c>
    </row>
    <row r="159" spans="1:11">
      <c r="A159" s="6" t="s">
        <v>156</v>
      </c>
      <c r="B159" s="20">
        <f>+IQR_results_usd!B159*FXs!$C$2</f>
        <v>303659.28600000002</v>
      </c>
      <c r="C159" s="20">
        <f>+IQR_results_usd!C159*FXs!$C$3</f>
        <v>271021.46600000001</v>
      </c>
      <c r="D159" s="20">
        <f>+IQR_results_usd!D159*FXs!$C$4</f>
        <v>393313.11</v>
      </c>
      <c r="E159" s="20">
        <f>+IQR_results_usd!E159*FXs!$C$5</f>
        <v>557279.96100000001</v>
      </c>
      <c r="F159" s="20">
        <f>+IQR_results_usd!F159*FXs!$C$6</f>
        <v>642927.65899999999</v>
      </c>
      <c r="G159" s="20">
        <f>+IQR_results_usd!G159*FXs!$C$7</f>
        <v>474050.011</v>
      </c>
      <c r="H159" s="20">
        <f>+IQR_results_usd!H159*FXs!$C$8</f>
        <v>1003692.8989999999</v>
      </c>
      <c r="I159" s="20">
        <f>+IQR_results_usd!I159*FXs!$C$9</f>
        <v>2540531.6189999999</v>
      </c>
      <c r="J159" s="20">
        <f>+IQR_results_usd!J159*FXs!$C$10</f>
        <v>3775210.0720000002</v>
      </c>
      <c r="K159" s="20">
        <f>+IQR_results_usd!K159*FXs!$C$11</f>
        <v>5292240.0829999996</v>
      </c>
    </row>
    <row r="160" spans="1:11">
      <c r="A160" s="5" t="s">
        <v>157</v>
      </c>
      <c r="B160" s="20">
        <f>+IQR_results_usd!B160*FXs!$C$2</f>
        <v>35.432874224979379</v>
      </c>
      <c r="C160" s="20">
        <f>+IQR_results_usd!C160*FXs!$C$3</f>
        <v>42.376678754700265</v>
      </c>
      <c r="D160" s="20">
        <f>+IQR_results_usd!D160*FXs!$C$4</f>
        <v>0</v>
      </c>
      <c r="E160" s="20">
        <f>+IQR_results_usd!E160*FXs!$C$5</f>
        <v>0</v>
      </c>
      <c r="F160" s="20">
        <f>+IQR_results_usd!F160*FXs!$C$6</f>
        <v>0</v>
      </c>
      <c r="G160" s="20">
        <f>+IQR_results_usd!G160*FXs!$C$7</f>
        <v>21.707999999999998</v>
      </c>
      <c r="H160" s="20">
        <f>+IQR_results_usd!H160*FXs!$C$8</f>
        <v>42.094000000000001</v>
      </c>
      <c r="I160" s="20">
        <f>+IQR_results_usd!I160*FXs!$C$9</f>
        <v>0</v>
      </c>
      <c r="J160" s="20">
        <f>+IQR_results_usd!J160*FXs!$C$10</f>
        <v>0</v>
      </c>
      <c r="K160" s="20">
        <f>+IQR_results_usd!K160*FXs!$C$11</f>
        <v>0</v>
      </c>
    </row>
    <row r="161" spans="1:11">
      <c r="A161" s="6" t="s">
        <v>158</v>
      </c>
      <c r="B161" s="20">
        <f>+IQR_results_usd!B161*FXs!$C$2</f>
        <v>0</v>
      </c>
      <c r="C161" s="20">
        <f>+IQR_results_usd!C161*FXs!$C$3</f>
        <v>0</v>
      </c>
      <c r="D161" s="20">
        <f>+IQR_results_usd!D161*FXs!$C$4</f>
        <v>0</v>
      </c>
      <c r="E161" s="20">
        <f>+IQR_results_usd!E161*FXs!$C$5</f>
        <v>0</v>
      </c>
      <c r="F161" s="20">
        <f>+IQR_results_usd!F161*FXs!$C$6</f>
        <v>0</v>
      </c>
      <c r="G161" s="20">
        <f>+IQR_results_usd!G161*FXs!$C$7</f>
        <v>0</v>
      </c>
      <c r="H161" s="20">
        <f>+IQR_results_usd!H161*FXs!$C$8</f>
        <v>0</v>
      </c>
      <c r="I161" s="20">
        <f>+IQR_results_usd!I161*FXs!$C$9</f>
        <v>0</v>
      </c>
      <c r="J161" s="20">
        <f>+IQR_results_usd!J161*FXs!$C$10</f>
        <v>0</v>
      </c>
      <c r="K161" s="20">
        <f>+IQR_results_usd!K161*FXs!$C$11</f>
        <v>0</v>
      </c>
    </row>
    <row r="162" spans="1:11">
      <c r="A162" s="5" t="s">
        <v>159</v>
      </c>
      <c r="B162" s="20">
        <f>+IQR_results_usd!B162*FXs!$C$2</f>
        <v>7346.1049999999987</v>
      </c>
      <c r="C162" s="20">
        <f>+IQR_results_usd!C162*FXs!$C$3</f>
        <v>5462.3590000000004</v>
      </c>
      <c r="D162" s="20">
        <f>+IQR_results_usd!D162*FXs!$C$4</f>
        <v>8465.7150000000001</v>
      </c>
      <c r="E162" s="20">
        <f>+IQR_results_usd!E162*FXs!$C$5</f>
        <v>29267.378000000001</v>
      </c>
      <c r="F162" s="20">
        <f>+IQR_results_usd!F162*FXs!$C$6</f>
        <v>36014.012000000002</v>
      </c>
      <c r="G162" s="20">
        <f>+IQR_results_usd!G162*FXs!$C$7</f>
        <v>42545.993999999999</v>
      </c>
      <c r="H162" s="20">
        <f>+IQR_results_usd!H162*FXs!$C$8</f>
        <v>58002.147000000004</v>
      </c>
      <c r="I162" s="20">
        <f>+IQR_results_usd!I162*FXs!$C$9</f>
        <v>119560.50000000001</v>
      </c>
      <c r="J162" s="20">
        <f>+IQR_results_usd!J162*FXs!$C$10</f>
        <v>84095.71</v>
      </c>
      <c r="K162" s="20">
        <f>+IQR_results_usd!K162*FXs!$C$11</f>
        <v>120882.355</v>
      </c>
    </row>
    <row r="163" spans="1:11">
      <c r="A163" s="7" t="s">
        <v>160</v>
      </c>
      <c r="B163" s="20">
        <f>+IQR_results_usd!B163*FXs!$C$2</f>
        <v>311869.946</v>
      </c>
      <c r="C163" s="20">
        <f>+IQR_results_usd!C163*FXs!$C$3</f>
        <v>276624.152</v>
      </c>
      <c r="D163" s="20">
        <f>+IQR_results_usd!D163*FXs!$C$4</f>
        <v>401778.82500000001</v>
      </c>
      <c r="E163" s="20">
        <f>+IQR_results_usd!E163*FXs!$C$5</f>
        <v>586547.33900000004</v>
      </c>
      <c r="F163" s="20">
        <f>+IQR_results_usd!F163*FXs!$C$6</f>
        <v>678941.67099999997</v>
      </c>
      <c r="G163" s="20">
        <f>+IQR_results_usd!G163*FXs!$C$7</f>
        <v>516617.71300000005</v>
      </c>
      <c r="H163" s="20">
        <f>+IQR_results_usd!H163*FXs!$C$8</f>
        <v>1061737.1400000001</v>
      </c>
      <c r="I163" s="20">
        <f>+IQR_results_usd!I163*FXs!$C$9</f>
        <v>2660092.1189999999</v>
      </c>
      <c r="J163" s="20">
        <f>+IQR_results_usd!J163*FXs!$C$10</f>
        <v>3859305.7819999997</v>
      </c>
      <c r="K163" s="20">
        <f>+IQR_results_usd!K163*FXs!$C$11</f>
        <v>5413122.4380000001</v>
      </c>
    </row>
    <row r="164" spans="1:11">
      <c r="A164" s="5" t="s">
        <v>161</v>
      </c>
      <c r="B164" s="20">
        <f>+IQR_results_usd!B164*FXs!$C$2</f>
        <v>0</v>
      </c>
      <c r="C164" s="20">
        <f>+IQR_results_usd!C164*FXs!$C$3</f>
        <v>0</v>
      </c>
      <c r="D164" s="20">
        <f>+IQR_results_usd!D164*FXs!$C$4</f>
        <v>0</v>
      </c>
      <c r="E164" s="20">
        <f>+IQR_results_usd!E164*FXs!$C$5</f>
        <v>0</v>
      </c>
      <c r="F164" s="20">
        <f>+IQR_results_usd!F164*FXs!$C$6</f>
        <v>0</v>
      </c>
      <c r="G164" s="20">
        <f>+IQR_results_usd!G164*FXs!$C$7</f>
        <v>0</v>
      </c>
      <c r="H164" s="20">
        <f>+IQR_results_usd!H164*FXs!$C$8</f>
        <v>0</v>
      </c>
      <c r="I164" s="20">
        <f>+IQR_results_usd!I164*FXs!$C$9</f>
        <v>0</v>
      </c>
      <c r="J164" s="20">
        <f>+IQR_results_usd!J164*FXs!$C$10</f>
        <v>0</v>
      </c>
      <c r="K164" s="20">
        <f>+IQR_results_usd!K164*FXs!$C$11</f>
        <v>0</v>
      </c>
    </row>
    <row r="165" spans="1:11">
      <c r="A165" s="6" t="s">
        <v>162</v>
      </c>
      <c r="B165" s="20">
        <f>+IQR_results_usd!B165*FXs!$C$2</f>
        <v>0</v>
      </c>
      <c r="C165" s="20">
        <f>+IQR_results_usd!C165*FXs!$C$3</f>
        <v>0</v>
      </c>
      <c r="D165" s="20">
        <f>+IQR_results_usd!D165*FXs!$C$4</f>
        <v>0</v>
      </c>
      <c r="E165" s="20">
        <f>+IQR_results_usd!E165*FXs!$C$5</f>
        <v>0</v>
      </c>
      <c r="F165" s="20">
        <f>+IQR_results_usd!F165*FXs!$C$6</f>
        <v>0</v>
      </c>
      <c r="G165" s="20">
        <f>+IQR_results_usd!G165*FXs!$C$7</f>
        <v>0</v>
      </c>
      <c r="H165" s="20">
        <f>+IQR_results_usd!H165*FXs!$C$8</f>
        <v>0</v>
      </c>
      <c r="I165" s="20">
        <f>+IQR_results_usd!I165*FXs!$C$9</f>
        <v>0</v>
      </c>
      <c r="J165" s="20">
        <f>+IQR_results_usd!J165*FXs!$C$10</f>
        <v>0</v>
      </c>
      <c r="K165" s="20">
        <f>+IQR_results_usd!K165*FXs!$C$11</f>
        <v>0</v>
      </c>
    </row>
    <row r="166" spans="1:11">
      <c r="A166" s="5" t="s">
        <v>163</v>
      </c>
      <c r="B166" s="20">
        <f>+IQR_results_usd!B166*FXs!$C$2</f>
        <v>-72845.944000000003</v>
      </c>
      <c r="C166" s="20">
        <f>+IQR_results_usd!C166*FXs!$C$3</f>
        <v>217370.45499999999</v>
      </c>
      <c r="D166" s="20">
        <f>+IQR_results_usd!D166*FXs!$C$4</f>
        <v>266663.255</v>
      </c>
      <c r="E166" s="20">
        <f>+IQR_results_usd!E166*FXs!$C$5</f>
        <v>334847.05300000001</v>
      </c>
      <c r="F166" s="20">
        <f>+IQR_results_usd!F166*FXs!$C$6</f>
        <v>433683.25300000008</v>
      </c>
      <c r="G166" s="20">
        <f>+IQR_results_usd!G166*FXs!$C$7</f>
        <v>287484.18300000002</v>
      </c>
      <c r="H166" s="20">
        <f>+IQR_results_usd!H166*FXs!$C$8</f>
        <v>555162.15599999996</v>
      </c>
      <c r="I166" s="20">
        <f>+IQR_results_usd!I166*FXs!$C$9</f>
        <v>1329624.4339999999</v>
      </c>
      <c r="J166" s="20">
        <f>+IQR_results_usd!J166*FXs!$C$10</f>
        <v>2104177.7259999998</v>
      </c>
      <c r="K166" s="20">
        <f>+IQR_results_usd!K166*FXs!$C$11</f>
        <v>3116607.7740000002</v>
      </c>
    </row>
    <row r="167" spans="1:11">
      <c r="A167" s="6" t="s">
        <v>164</v>
      </c>
      <c r="B167" s="20">
        <f>+IQR_results_usd!B167*FXs!$C$2</f>
        <v>0</v>
      </c>
      <c r="C167" s="20">
        <f>+IQR_results_usd!C167*FXs!$C$3</f>
        <v>0</v>
      </c>
      <c r="D167" s="20">
        <f>+IQR_results_usd!D167*FXs!$C$4</f>
        <v>0</v>
      </c>
      <c r="E167" s="20">
        <f>+IQR_results_usd!E167*FXs!$C$5</f>
        <v>0</v>
      </c>
      <c r="F167" s="20">
        <f>+IQR_results_usd!F167*FXs!$C$6</f>
        <v>0</v>
      </c>
      <c r="G167" s="20">
        <f>+IQR_results_usd!G167*FXs!$C$7</f>
        <v>0</v>
      </c>
      <c r="H167" s="20">
        <f>+IQR_results_usd!H167*FXs!$C$8</f>
        <v>0</v>
      </c>
      <c r="I167" s="20">
        <f>+IQR_results_usd!I167*FXs!$C$9</f>
        <v>0</v>
      </c>
      <c r="J167" s="20">
        <f>+IQR_results_usd!J167*FXs!$C$10</f>
        <v>0</v>
      </c>
      <c r="K167" s="20">
        <f>+IQR_results_usd!K167*FXs!$C$11</f>
        <v>0</v>
      </c>
    </row>
    <row r="168" spans="1:11">
      <c r="A168" s="5" t="s">
        <v>165</v>
      </c>
      <c r="B168" s="20">
        <f>+IQR_results_usd!B168*FXs!$C$2</f>
        <v>0</v>
      </c>
      <c r="C168" s="20">
        <f>+IQR_results_usd!C168*FXs!$C$3</f>
        <v>0</v>
      </c>
      <c r="D168" s="20">
        <f>+IQR_results_usd!D168*FXs!$C$4</f>
        <v>0</v>
      </c>
      <c r="E168" s="20">
        <f>+IQR_results_usd!E168*FXs!$C$5</f>
        <v>0</v>
      </c>
      <c r="F168" s="20">
        <f>+IQR_results_usd!F168*FXs!$C$6</f>
        <v>0</v>
      </c>
      <c r="G168" s="20">
        <f>+IQR_results_usd!G168*FXs!$C$7</f>
        <v>0</v>
      </c>
      <c r="H168" s="20">
        <f>+IQR_results_usd!H168*FXs!$C$8</f>
        <v>0</v>
      </c>
      <c r="I168" s="20">
        <f>+IQR_results_usd!I168*FXs!$C$9</f>
        <v>0</v>
      </c>
      <c r="J168" s="20">
        <f>+IQR_results_usd!J168*FXs!$C$10</f>
        <v>0</v>
      </c>
      <c r="K168" s="20">
        <f>+IQR_results_usd!K168*FXs!$C$11</f>
        <v>0</v>
      </c>
    </row>
    <row r="169" spans="1:11">
      <c r="A169" s="7" t="s">
        <v>166</v>
      </c>
      <c r="B169" s="20">
        <f>+IQR_results_usd!B169*FXs!$C$2</f>
        <v>-72845.944000000003</v>
      </c>
      <c r="C169" s="20">
        <f>+IQR_results_usd!C169*FXs!$C$3</f>
        <v>217370.45499999999</v>
      </c>
      <c r="D169" s="20">
        <f>+IQR_results_usd!D169*FXs!$C$4</f>
        <v>266663.255</v>
      </c>
      <c r="E169" s="20">
        <f>+IQR_results_usd!E169*FXs!$C$5</f>
        <v>334847.05300000001</v>
      </c>
      <c r="F169" s="20">
        <f>+IQR_results_usd!F169*FXs!$C$6</f>
        <v>433683.25300000008</v>
      </c>
      <c r="G169" s="20">
        <f>+IQR_results_usd!G169*FXs!$C$7</f>
        <v>287484.18300000002</v>
      </c>
      <c r="H169" s="20">
        <f>+IQR_results_usd!H169*FXs!$C$8</f>
        <v>555162.15599999996</v>
      </c>
      <c r="I169" s="20">
        <f>+IQR_results_usd!I169*FXs!$C$9</f>
        <v>1329624.4339999999</v>
      </c>
      <c r="J169" s="20">
        <f>+IQR_results_usd!J169*FXs!$C$10</f>
        <v>2104177.7259999998</v>
      </c>
      <c r="K169" s="20">
        <f>+IQR_results_usd!K169*FXs!$C$11</f>
        <v>3116607.7740000002</v>
      </c>
    </row>
    <row r="170" spans="1:11">
      <c r="A170" s="7" t="s">
        <v>167</v>
      </c>
      <c r="B170" s="20">
        <f>+IQR_results_usd!B170*FXs!$C$2</f>
        <v>384715.89</v>
      </c>
      <c r="C170" s="20">
        <f>+IQR_results_usd!C170*FXs!$C$3</f>
        <v>59253.697000000015</v>
      </c>
      <c r="D170" s="20">
        <f>+IQR_results_usd!D170*FXs!$C$4</f>
        <v>135115.57</v>
      </c>
      <c r="E170" s="20">
        <f>+IQR_results_usd!E170*FXs!$C$5</f>
        <v>251700.28600000002</v>
      </c>
      <c r="F170" s="20">
        <f>+IQR_results_usd!F170*FXs!$C$6</f>
        <v>245258.41799999992</v>
      </c>
      <c r="G170" s="20">
        <f>+IQR_results_usd!G170*FXs!$C$7</f>
        <v>229133.52999999997</v>
      </c>
      <c r="H170" s="20">
        <f>+IQR_results_usd!H170*FXs!$C$8</f>
        <v>506574.98400000017</v>
      </c>
      <c r="I170" s="20">
        <f>+IQR_results_usd!I170*FXs!$C$9</f>
        <v>1330467.6850000001</v>
      </c>
      <c r="J170" s="20">
        <f>+IQR_results_usd!J170*FXs!$C$10</f>
        <v>1755128.0560000003</v>
      </c>
      <c r="K170" s="20">
        <f>+IQR_results_usd!K170*FXs!$C$11</f>
        <v>2296514.6639999999</v>
      </c>
    </row>
    <row r="171" spans="1:11">
      <c r="A171" s="6" t="s">
        <v>168</v>
      </c>
      <c r="B171" s="20">
        <f>+IQR_results_usd!B171*FXs!$C$2</f>
        <v>0</v>
      </c>
      <c r="C171" s="20">
        <f>+IQR_results_usd!C171*FXs!$C$3</f>
        <v>0</v>
      </c>
      <c r="D171" s="20">
        <f>+IQR_results_usd!D171*FXs!$C$4</f>
        <v>0</v>
      </c>
      <c r="E171" s="20">
        <f>+IQR_results_usd!E171*FXs!$C$5</f>
        <v>0</v>
      </c>
      <c r="F171" s="20">
        <f>+IQR_results_usd!F171*FXs!$C$6</f>
        <v>0</v>
      </c>
      <c r="G171" s="20">
        <f>+IQR_results_usd!G171*FXs!$C$7</f>
        <v>0</v>
      </c>
      <c r="H171" s="20">
        <f>+IQR_results_usd!H171*FXs!$C$8</f>
        <v>0</v>
      </c>
      <c r="I171" s="20">
        <f>+IQR_results_usd!I171*FXs!$C$9</f>
        <v>0</v>
      </c>
      <c r="J171" s="20">
        <f>+IQR_results_usd!J171*FXs!$C$10</f>
        <v>0</v>
      </c>
      <c r="K171" s="20">
        <f>+IQR_results_usd!K171*FXs!$C$11</f>
        <v>0</v>
      </c>
    </row>
    <row r="172" spans="1:11">
      <c r="A172" s="5" t="s">
        <v>169</v>
      </c>
      <c r="B172" s="20">
        <f>+IQR_results_usd!B172*FXs!$C$2</f>
        <v>0</v>
      </c>
      <c r="C172" s="20">
        <f>+IQR_results_usd!C172*FXs!$C$3</f>
        <v>0</v>
      </c>
      <c r="D172" s="20">
        <f>+IQR_results_usd!D172*FXs!$C$4</f>
        <v>0</v>
      </c>
      <c r="E172" s="20">
        <f>+IQR_results_usd!E172*FXs!$C$5</f>
        <v>0</v>
      </c>
      <c r="F172" s="20">
        <f>+IQR_results_usd!F172*FXs!$C$6</f>
        <v>0</v>
      </c>
      <c r="G172" s="20">
        <f>+IQR_results_usd!G172*FXs!$C$7</f>
        <v>0</v>
      </c>
      <c r="H172" s="20">
        <f>+IQR_results_usd!H172*FXs!$C$8</f>
        <v>0</v>
      </c>
      <c r="I172" s="20">
        <f>+IQR_results_usd!I172*FXs!$C$9</f>
        <v>0</v>
      </c>
      <c r="J172" s="20">
        <f>+IQR_results_usd!J172*FXs!$C$10</f>
        <v>0</v>
      </c>
      <c r="K172" s="20">
        <f>+IQR_results_usd!K172*FXs!$C$11</f>
        <v>0</v>
      </c>
    </row>
    <row r="173" spans="1:11">
      <c r="A173" s="6" t="s">
        <v>170</v>
      </c>
      <c r="B173" s="20">
        <f>+IQR_results_usd!B173*FXs!$C$2</f>
        <v>0</v>
      </c>
      <c r="C173" s="20">
        <f>+IQR_results_usd!C173*FXs!$C$3</f>
        <v>0</v>
      </c>
      <c r="D173" s="20">
        <f>+IQR_results_usd!D173*FXs!$C$4</f>
        <v>0</v>
      </c>
      <c r="E173" s="20">
        <f>+IQR_results_usd!E173*FXs!$C$5</f>
        <v>0</v>
      </c>
      <c r="F173" s="20">
        <f>+IQR_results_usd!F173*FXs!$C$6</f>
        <v>0</v>
      </c>
      <c r="G173" s="20">
        <f>+IQR_results_usd!G173*FXs!$C$7</f>
        <v>0</v>
      </c>
      <c r="H173" s="20">
        <f>+IQR_results_usd!H173*FXs!$C$8</f>
        <v>0</v>
      </c>
      <c r="I173" s="20">
        <f>+IQR_results_usd!I173*FXs!$C$9</f>
        <v>0</v>
      </c>
      <c r="J173" s="20">
        <f>+IQR_results_usd!J173*FXs!$C$10</f>
        <v>0</v>
      </c>
      <c r="K173" s="20">
        <f>+IQR_results_usd!K173*FXs!$C$11</f>
        <v>0</v>
      </c>
    </row>
    <row r="174" spans="1:11">
      <c r="A174" s="5" t="s">
        <v>171</v>
      </c>
      <c r="B174" s="20">
        <f>+IQR_results_usd!B174*FXs!$C$2</f>
        <v>11175.184999999999</v>
      </c>
      <c r="C174" s="20">
        <f>+IQR_results_usd!C174*FXs!$C$3</f>
        <v>23410.291000000001</v>
      </c>
      <c r="D174" s="20">
        <f>+IQR_results_usd!D174*FXs!$C$4</f>
        <v>20497.492999999999</v>
      </c>
      <c r="E174" s="20">
        <f>+IQR_results_usd!E174*FXs!$C$5</f>
        <v>22334.394999999997</v>
      </c>
      <c r="F174" s="20">
        <f>+IQR_results_usd!F174*FXs!$C$6</f>
        <v>27348.895999999997</v>
      </c>
      <c r="G174" s="20">
        <f>+IQR_results_usd!G174*FXs!$C$7</f>
        <v>48962.758000000002</v>
      </c>
      <c r="H174" s="20">
        <f>+IQR_results_usd!H174*FXs!$C$8</f>
        <v>42783.459000000003</v>
      </c>
      <c r="I174" s="20">
        <f>+IQR_results_usd!I174*FXs!$C$9</f>
        <v>80176.094999999987</v>
      </c>
      <c r="J174" s="20">
        <f>+IQR_results_usd!J174*FXs!$C$10</f>
        <v>151638.23199999999</v>
      </c>
      <c r="K174" s="20">
        <f>+IQR_results_usd!K174*FXs!$C$11</f>
        <v>295267.929</v>
      </c>
    </row>
    <row r="175" spans="1:11">
      <c r="A175" s="6" t="s">
        <v>172</v>
      </c>
      <c r="B175" s="20">
        <f>+IQR_results_usd!B175*FXs!$C$2</f>
        <v>10515.135</v>
      </c>
      <c r="C175" s="20">
        <f>+IQR_results_usd!C175*FXs!$C$3</f>
        <v>12617.457</v>
      </c>
      <c r="D175" s="20">
        <f>+IQR_results_usd!D175*FXs!$C$4</f>
        <v>17824.21</v>
      </c>
      <c r="E175" s="20">
        <f>+IQR_results_usd!E175*FXs!$C$5</f>
        <v>21653.956999999999</v>
      </c>
      <c r="F175" s="20">
        <f>+IQR_results_usd!F175*FXs!$C$6</f>
        <v>26562.743999999995</v>
      </c>
      <c r="G175" s="20">
        <f>+IQR_results_usd!G175*FXs!$C$7</f>
        <v>24353.662</v>
      </c>
      <c r="H175" s="20">
        <f>+IQR_results_usd!H175*FXs!$C$8</f>
        <v>39431.637000000002</v>
      </c>
      <c r="I175" s="20">
        <f>+IQR_results_usd!I175*FXs!$C$9</f>
        <v>80309.501999999993</v>
      </c>
      <c r="J175" s="20">
        <f>+IQR_results_usd!J175*FXs!$C$10</f>
        <v>201365.921</v>
      </c>
      <c r="K175" s="20">
        <f>+IQR_results_usd!K175*FXs!$C$11</f>
        <v>266146.054095347</v>
      </c>
    </row>
    <row r="176" spans="1:11">
      <c r="A176" s="5" t="s">
        <v>173</v>
      </c>
      <c r="B176" s="20">
        <f>+IQR_results_usd!B176*FXs!$C$2</f>
        <v>0</v>
      </c>
      <c r="C176" s="20">
        <f>+IQR_results_usd!C176*FXs!$C$3</f>
        <v>0</v>
      </c>
      <c r="D176" s="20">
        <f>+IQR_results_usd!D176*FXs!$C$4</f>
        <v>0</v>
      </c>
      <c r="E176" s="20">
        <f>+IQR_results_usd!E176*FXs!$C$5</f>
        <v>0</v>
      </c>
      <c r="F176" s="20">
        <f>+IQR_results_usd!F176*FXs!$C$6</f>
        <v>0</v>
      </c>
      <c r="G176" s="20">
        <f>+IQR_results_usd!G176*FXs!$C$7</f>
        <v>0</v>
      </c>
      <c r="H176" s="20">
        <f>+IQR_results_usd!H176*FXs!$C$8</f>
        <v>0</v>
      </c>
      <c r="I176" s="20">
        <f>+IQR_results_usd!I176*FXs!$C$9</f>
        <v>0</v>
      </c>
      <c r="J176" s="20">
        <f>+IQR_results_usd!J176*FXs!$C$10</f>
        <v>0</v>
      </c>
      <c r="K176" s="20">
        <f>+IQR_results_usd!K176*FXs!$C$11</f>
        <v>0</v>
      </c>
    </row>
    <row r="177" spans="1:11">
      <c r="A177" s="6" t="s">
        <v>174</v>
      </c>
      <c r="B177" s="20">
        <f>+IQR_results_usd!B177*FXs!$C$2</f>
        <v>0</v>
      </c>
      <c r="C177" s="20">
        <f>+IQR_results_usd!C177*FXs!$C$3</f>
        <v>0</v>
      </c>
      <c r="D177" s="20">
        <f>+IQR_results_usd!D177*FXs!$C$4</f>
        <v>0</v>
      </c>
      <c r="E177" s="20">
        <f>+IQR_results_usd!E177*FXs!$C$5</f>
        <v>0</v>
      </c>
      <c r="F177" s="20">
        <f>+IQR_results_usd!F177*FXs!$C$6</f>
        <v>0</v>
      </c>
      <c r="G177" s="20">
        <f>+IQR_results_usd!G177*FXs!$C$7</f>
        <v>0</v>
      </c>
      <c r="H177" s="20">
        <f>+IQR_results_usd!H177*FXs!$C$8</f>
        <v>0</v>
      </c>
      <c r="I177" s="20">
        <f>+IQR_results_usd!I177*FXs!$C$9</f>
        <v>0</v>
      </c>
      <c r="J177" s="20">
        <f>+IQR_results_usd!J177*FXs!$C$10</f>
        <v>0</v>
      </c>
      <c r="K177" s="20">
        <f>+IQR_results_usd!K177*FXs!$C$11</f>
        <v>0</v>
      </c>
    </row>
    <row r="178" spans="1:11">
      <c r="A178" s="5" t="s">
        <v>175</v>
      </c>
      <c r="B178" s="20">
        <f>+IQR_results_usd!B178*FXs!$C$2</f>
        <v>0</v>
      </c>
      <c r="C178" s="20">
        <f>+IQR_results_usd!C178*FXs!$C$3</f>
        <v>0</v>
      </c>
      <c r="D178" s="20">
        <f>+IQR_results_usd!D178*FXs!$C$4</f>
        <v>0</v>
      </c>
      <c r="E178" s="20">
        <f>+IQR_results_usd!E178*FXs!$C$5</f>
        <v>0</v>
      </c>
      <c r="F178" s="20">
        <f>+IQR_results_usd!F178*FXs!$C$6</f>
        <v>0</v>
      </c>
      <c r="G178" s="20">
        <f>+IQR_results_usd!G178*FXs!$C$7</f>
        <v>0</v>
      </c>
      <c r="H178" s="20">
        <f>+IQR_results_usd!H178*FXs!$C$8</f>
        <v>0</v>
      </c>
      <c r="I178" s="20">
        <f>+IQR_results_usd!I178*FXs!$C$9</f>
        <v>0</v>
      </c>
      <c r="J178" s="20">
        <f>+IQR_results_usd!J178*FXs!$C$10</f>
        <v>0</v>
      </c>
      <c r="K178" s="20">
        <f>+IQR_results_usd!K178*FXs!$C$11</f>
        <v>0</v>
      </c>
    </row>
    <row r="179" spans="1:11">
      <c r="A179" s="6" t="s">
        <v>176</v>
      </c>
      <c r="B179" s="20">
        <f>+IQR_results_usd!B179*FXs!$C$2</f>
        <v>0</v>
      </c>
      <c r="C179" s="20">
        <f>+IQR_results_usd!C179*FXs!$C$3</f>
        <v>0</v>
      </c>
      <c r="D179" s="20">
        <f>+IQR_results_usd!D179*FXs!$C$4</f>
        <v>0</v>
      </c>
      <c r="E179" s="20">
        <f>+IQR_results_usd!E179*FXs!$C$5</f>
        <v>0</v>
      </c>
      <c r="F179" s="20">
        <f>+IQR_results_usd!F179*FXs!$C$6</f>
        <v>0</v>
      </c>
      <c r="G179" s="20">
        <f>+IQR_results_usd!G179*FXs!$C$7</f>
        <v>0</v>
      </c>
      <c r="H179" s="20">
        <f>+IQR_results_usd!H179*FXs!$C$8</f>
        <v>0</v>
      </c>
      <c r="I179" s="20">
        <f>+IQR_results_usd!I179*FXs!$C$9</f>
        <v>0</v>
      </c>
      <c r="J179" s="20">
        <f>+IQR_results_usd!J179*FXs!$C$10</f>
        <v>0</v>
      </c>
      <c r="K179" s="20">
        <f>+IQR_results_usd!K179*FXs!$C$11</f>
        <v>0</v>
      </c>
    </row>
    <row r="180" spans="1:11">
      <c r="A180" s="5" t="s">
        <v>177</v>
      </c>
      <c r="B180" s="20">
        <f>+IQR_results_usd!B180*FXs!$C$2</f>
        <v>0</v>
      </c>
      <c r="C180" s="20">
        <f>+IQR_results_usd!C180*FXs!$C$3</f>
        <v>0</v>
      </c>
      <c r="D180" s="20">
        <f>+IQR_results_usd!D180*FXs!$C$4</f>
        <v>0</v>
      </c>
      <c r="E180" s="20">
        <f>+IQR_results_usd!E180*FXs!$C$5</f>
        <v>0</v>
      </c>
      <c r="F180" s="20">
        <f>+IQR_results_usd!F180*FXs!$C$6</f>
        <v>0</v>
      </c>
      <c r="G180" s="20">
        <f>+IQR_results_usd!G180*FXs!$C$7</f>
        <v>0</v>
      </c>
      <c r="H180" s="20">
        <f>+IQR_results_usd!H180*FXs!$C$8</f>
        <v>0</v>
      </c>
      <c r="I180" s="20">
        <f>+IQR_results_usd!I180*FXs!$C$9</f>
        <v>0</v>
      </c>
      <c r="J180" s="20">
        <f>+IQR_results_usd!J180*FXs!$C$10</f>
        <v>0</v>
      </c>
      <c r="K180" s="20">
        <f>+IQR_results_usd!K180*FXs!$C$11</f>
        <v>0</v>
      </c>
    </row>
    <row r="181" spans="1:11">
      <c r="A181" s="6" t="s">
        <v>178</v>
      </c>
      <c r="B181" s="20">
        <f>+IQR_results_usd!B181*FXs!$C$2</f>
        <v>-3080.4540000000002</v>
      </c>
      <c r="C181" s="20">
        <f>+IQR_results_usd!C181*FXs!$C$3</f>
        <v>-3301.8939999999998</v>
      </c>
      <c r="D181" s="20">
        <f>+IQR_results_usd!D181*FXs!$C$4</f>
        <v>-988.58100000000002</v>
      </c>
      <c r="E181" s="20">
        <f>+IQR_results_usd!E181*FXs!$C$5</f>
        <v>-5189.9709999999995</v>
      </c>
      <c r="F181" s="20">
        <f>+IQR_results_usd!F181*FXs!$C$6</f>
        <v>-7137.1890000000003</v>
      </c>
      <c r="G181" s="20">
        <f>+IQR_results_usd!G181*FXs!$C$7</f>
        <v>-6890.6</v>
      </c>
      <c r="H181" s="20">
        <f>+IQR_results_usd!H181*FXs!$C$8</f>
        <v>-8717.2669999999998</v>
      </c>
      <c r="I181" s="20">
        <f>+IQR_results_usd!I181*FXs!$C$9</f>
        <v>-14968.906999999999</v>
      </c>
      <c r="J181" s="20">
        <f>+IQR_results_usd!J181*FXs!$C$10</f>
        <v>-22202.052</v>
      </c>
      <c r="K181" s="20">
        <f>+IQR_results_usd!K181*FXs!$C$11</f>
        <v>-63606.563200694938</v>
      </c>
    </row>
    <row r="182" spans="1:11">
      <c r="A182" s="5" t="s">
        <v>179</v>
      </c>
      <c r="B182" s="20">
        <f>+IQR_results_usd!B182*FXs!$C$2</f>
        <v>0</v>
      </c>
      <c r="C182" s="20">
        <f>+IQR_results_usd!C182*FXs!$C$3</f>
        <v>0</v>
      </c>
      <c r="D182" s="20">
        <f>+IQR_results_usd!D182*FXs!$C$4</f>
        <v>0</v>
      </c>
      <c r="E182" s="20">
        <f>+IQR_results_usd!E182*FXs!$C$5</f>
        <v>0</v>
      </c>
      <c r="F182" s="20">
        <f>+IQR_results_usd!F182*FXs!$C$6</f>
        <v>0</v>
      </c>
      <c r="G182" s="20">
        <f>+IQR_results_usd!G182*FXs!$C$7</f>
        <v>0</v>
      </c>
      <c r="H182" s="20">
        <f>+IQR_results_usd!H182*FXs!$C$8</f>
        <v>0</v>
      </c>
      <c r="I182" s="20">
        <f>+IQR_results_usd!I182*FXs!$C$9</f>
        <v>0</v>
      </c>
      <c r="J182" s="20">
        <f>+IQR_results_usd!J182*FXs!$C$10</f>
        <v>0</v>
      </c>
      <c r="K182" s="20">
        <f>+IQR_results_usd!K182*FXs!$C$11</f>
        <v>0</v>
      </c>
    </row>
    <row r="183" spans="1:11">
      <c r="A183" s="6" t="s">
        <v>180</v>
      </c>
      <c r="B183" s="20">
        <f>+IQR_results_usd!B183*FXs!$C$2</f>
        <v>0</v>
      </c>
      <c r="C183" s="20">
        <f>+IQR_results_usd!C183*FXs!$C$3</f>
        <v>0</v>
      </c>
      <c r="D183" s="20">
        <f>+IQR_results_usd!D183*FXs!$C$4</f>
        <v>0</v>
      </c>
      <c r="E183" s="20">
        <f>+IQR_results_usd!E183*FXs!$C$5</f>
        <v>0</v>
      </c>
      <c r="F183" s="20">
        <f>+IQR_results_usd!F183*FXs!$C$6</f>
        <v>0</v>
      </c>
      <c r="G183" s="20">
        <f>+IQR_results_usd!G183*FXs!$C$7</f>
        <v>0</v>
      </c>
      <c r="H183" s="20">
        <f>+IQR_results_usd!H183*FXs!$C$8</f>
        <v>0</v>
      </c>
      <c r="I183" s="20">
        <f>+IQR_results_usd!I183*FXs!$C$9</f>
        <v>0</v>
      </c>
      <c r="J183" s="20">
        <f>+IQR_results_usd!J183*FXs!$C$10</f>
        <v>0</v>
      </c>
      <c r="K183" s="20">
        <f>+IQR_results_usd!K183*FXs!$C$11</f>
        <v>0</v>
      </c>
    </row>
    <row r="184" spans="1:11">
      <c r="A184" s="5" t="s">
        <v>181</v>
      </c>
      <c r="B184" s="20">
        <f>+IQR_results_usd!B184*FXs!$C$2</f>
        <v>0</v>
      </c>
      <c r="C184" s="20">
        <f>+IQR_results_usd!C184*FXs!$C$3</f>
        <v>0</v>
      </c>
      <c r="D184" s="20">
        <f>+IQR_results_usd!D184*FXs!$C$4</f>
        <v>0</v>
      </c>
      <c r="E184" s="20">
        <f>+IQR_results_usd!E184*FXs!$C$5</f>
        <v>0</v>
      </c>
      <c r="F184" s="20">
        <f>+IQR_results_usd!F184*FXs!$C$6</f>
        <v>0</v>
      </c>
      <c r="G184" s="20">
        <f>+IQR_results_usd!G184*FXs!$C$7</f>
        <v>0</v>
      </c>
      <c r="H184" s="20">
        <f>+IQR_results_usd!H184*FXs!$C$8</f>
        <v>0</v>
      </c>
      <c r="I184" s="20">
        <f>+IQR_results_usd!I184*FXs!$C$9</f>
        <v>0</v>
      </c>
      <c r="J184" s="20">
        <f>+IQR_results_usd!J184*FXs!$C$10</f>
        <v>0</v>
      </c>
      <c r="K184" s="20">
        <f>+IQR_results_usd!K184*FXs!$C$11</f>
        <v>0</v>
      </c>
    </row>
    <row r="185" spans="1:11">
      <c r="A185" s="6" t="s">
        <v>182</v>
      </c>
      <c r="B185" s="20">
        <f>+IQR_results_usd!B185*FXs!$C$2</f>
        <v>0</v>
      </c>
      <c r="C185" s="20">
        <f>+IQR_results_usd!C185*FXs!$C$3</f>
        <v>0</v>
      </c>
      <c r="D185" s="20">
        <f>+IQR_results_usd!D185*FXs!$C$4</f>
        <v>0</v>
      </c>
      <c r="E185" s="20">
        <f>+IQR_results_usd!E185*FXs!$C$5</f>
        <v>0</v>
      </c>
      <c r="F185" s="20">
        <f>+IQR_results_usd!F185*FXs!$C$6</f>
        <v>0</v>
      </c>
      <c r="G185" s="20">
        <f>+IQR_results_usd!G185*FXs!$C$7</f>
        <v>0</v>
      </c>
      <c r="H185" s="20">
        <f>+IQR_results_usd!H185*FXs!$C$8</f>
        <v>0</v>
      </c>
      <c r="I185" s="20">
        <f>+IQR_results_usd!I185*FXs!$C$9</f>
        <v>0</v>
      </c>
      <c r="J185" s="20">
        <f>+IQR_results_usd!J185*FXs!$C$10</f>
        <v>0</v>
      </c>
      <c r="K185" s="20">
        <f>+IQR_results_usd!K185*FXs!$C$11</f>
        <v>0</v>
      </c>
    </row>
    <row r="186" spans="1:11">
      <c r="A186" s="5" t="s">
        <v>183</v>
      </c>
      <c r="B186" s="20">
        <f>+IQR_results_usd!B186*FXs!$C$2</f>
        <v>0</v>
      </c>
      <c r="C186" s="20">
        <f>+IQR_results_usd!C186*FXs!$C$3</f>
        <v>0</v>
      </c>
      <c r="D186" s="20">
        <f>+IQR_results_usd!D186*FXs!$C$4</f>
        <v>587.54300000000001</v>
      </c>
      <c r="E186" s="20">
        <f>+IQR_results_usd!E186*FXs!$C$5</f>
        <v>480.88499999999999</v>
      </c>
      <c r="F186" s="20">
        <f>+IQR_results_usd!F186*FXs!$C$6</f>
        <v>379.96800000000002</v>
      </c>
      <c r="G186" s="20">
        <f>+IQR_results_usd!G186*FXs!$C$7</f>
        <v>625.65800000000002</v>
      </c>
      <c r="H186" s="20">
        <f>+IQR_results_usd!H186*FXs!$C$8</f>
        <v>4439.4210000000003</v>
      </c>
      <c r="I186" s="20">
        <f>+IQR_results_usd!I186*FXs!$C$9</f>
        <v>1875.683</v>
      </c>
      <c r="J186" s="20">
        <f>+IQR_results_usd!J186*FXs!$C$10</f>
        <v>8299.3029999999999</v>
      </c>
      <c r="K186" s="20">
        <f>+IQR_results_usd!K186*FXs!$C$11</f>
        <v>7871.3640000000005</v>
      </c>
    </row>
    <row r="187" spans="1:11">
      <c r="A187" s="6" t="s">
        <v>184</v>
      </c>
      <c r="B187" s="20">
        <f>+IQR_results_usd!B187*FXs!$C$2</f>
        <v>0</v>
      </c>
      <c r="C187" s="20">
        <f>+IQR_results_usd!C187*FXs!$C$3</f>
        <v>0</v>
      </c>
      <c r="D187" s="20">
        <f>+IQR_results_usd!D187*FXs!$C$4</f>
        <v>0</v>
      </c>
      <c r="E187" s="20">
        <f>+IQR_results_usd!E187*FXs!$C$5</f>
        <v>0</v>
      </c>
      <c r="F187" s="20">
        <f>+IQR_results_usd!F187*FXs!$C$6</f>
        <v>0</v>
      </c>
      <c r="G187" s="20">
        <f>+IQR_results_usd!G187*FXs!$C$7</f>
        <v>0</v>
      </c>
      <c r="H187" s="20">
        <f>+IQR_results_usd!H187*FXs!$C$8</f>
        <v>0</v>
      </c>
      <c r="I187" s="20">
        <f>+IQR_results_usd!I187*FXs!$C$9</f>
        <v>0</v>
      </c>
      <c r="J187" s="20">
        <f>+IQR_results_usd!J187*FXs!$C$10</f>
        <v>0</v>
      </c>
      <c r="K187" s="20">
        <f>+IQR_results_usd!K187*FXs!$C$11</f>
        <v>0</v>
      </c>
    </row>
    <row r="188" spans="1:11">
      <c r="A188" s="5" t="s">
        <v>185</v>
      </c>
      <c r="B188" s="20">
        <f>+IQR_results_usd!B188*FXs!$C$2</f>
        <v>72845.944000000003</v>
      </c>
      <c r="C188" s="20">
        <f>+IQR_results_usd!C188*FXs!$C$3</f>
        <v>77870.573999999993</v>
      </c>
      <c r="D188" s="20">
        <f>+IQR_results_usd!D188*FXs!$C$4</f>
        <v>86275.353000000003</v>
      </c>
      <c r="E188" s="20">
        <f>+IQR_results_usd!E188*FXs!$C$5</f>
        <v>113849.38</v>
      </c>
      <c r="F188" s="20">
        <f>+IQR_results_usd!F188*FXs!$C$6</f>
        <v>116142.989</v>
      </c>
      <c r="G188" s="20">
        <f>+IQR_results_usd!G188*FXs!$C$7</f>
        <v>126051.469</v>
      </c>
      <c r="H188" s="20">
        <f>+IQR_results_usd!H188*FXs!$C$8</f>
        <v>146979.57999999999</v>
      </c>
      <c r="I188" s="20">
        <f>+IQR_results_usd!I188*FXs!$C$9</f>
        <v>653100.47499999998</v>
      </c>
      <c r="J188" s="20">
        <f>+IQR_results_usd!J188*FXs!$C$10</f>
        <v>773576.36300000001</v>
      </c>
      <c r="K188" s="20">
        <f>+IQR_results_usd!K188*FXs!$C$11</f>
        <v>1044005.874</v>
      </c>
    </row>
    <row r="189" spans="1:11">
      <c r="A189" s="6" t="s">
        <v>186</v>
      </c>
      <c r="B189" s="20">
        <f>+IQR_results_usd!B189*FXs!$C$2</f>
        <v>0</v>
      </c>
      <c r="C189" s="20">
        <f>+IQR_results_usd!C189*FXs!$C$3</f>
        <v>0</v>
      </c>
      <c r="D189" s="20">
        <f>+IQR_results_usd!D189*FXs!$C$4</f>
        <v>0</v>
      </c>
      <c r="E189" s="20">
        <f>+IQR_results_usd!E189*FXs!$C$5</f>
        <v>0</v>
      </c>
      <c r="F189" s="20">
        <f>+IQR_results_usd!F189*FXs!$C$6</f>
        <v>0</v>
      </c>
      <c r="G189" s="20">
        <f>+IQR_results_usd!G189*FXs!$C$7</f>
        <v>0</v>
      </c>
      <c r="H189" s="20">
        <f>+IQR_results_usd!H189*FXs!$C$8</f>
        <v>0</v>
      </c>
      <c r="I189" s="20">
        <f>+IQR_results_usd!I189*FXs!$C$9</f>
        <v>0</v>
      </c>
      <c r="J189" s="20">
        <f>+IQR_results_usd!J189*FXs!$C$10</f>
        <v>0</v>
      </c>
      <c r="K189" s="20">
        <f>+IQR_results_usd!K189*FXs!$C$11</f>
        <v>0</v>
      </c>
    </row>
    <row r="190" spans="1:11">
      <c r="A190" s="5" t="s">
        <v>187</v>
      </c>
      <c r="B190" s="20">
        <f>+IQR_results_usd!B190*FXs!$C$2</f>
        <v>0</v>
      </c>
      <c r="C190" s="20">
        <f>+IQR_results_usd!C190*FXs!$C$3</f>
        <v>0</v>
      </c>
      <c r="D190" s="20">
        <f>+IQR_results_usd!D190*FXs!$C$4</f>
        <v>0</v>
      </c>
      <c r="E190" s="20">
        <f>+IQR_results_usd!E190*FXs!$C$5</f>
        <v>0</v>
      </c>
      <c r="F190" s="20">
        <f>+IQR_results_usd!F190*FXs!$C$6</f>
        <v>0</v>
      </c>
      <c r="G190" s="20">
        <f>+IQR_results_usd!G190*FXs!$C$7</f>
        <v>0</v>
      </c>
      <c r="H190" s="20">
        <f>+IQR_results_usd!H190*FXs!$C$8</f>
        <v>0</v>
      </c>
      <c r="I190" s="20">
        <f>+IQR_results_usd!I190*FXs!$C$9</f>
        <v>0</v>
      </c>
      <c r="J190" s="20">
        <f>+IQR_results_usd!J190*FXs!$C$10</f>
        <v>0</v>
      </c>
      <c r="K190" s="20">
        <f>+IQR_results_usd!K190*FXs!$C$11</f>
        <v>0</v>
      </c>
    </row>
    <row r="191" spans="1:11">
      <c r="A191" s="6" t="s">
        <v>188</v>
      </c>
      <c r="B191" s="20">
        <f>+IQR_results_usd!B191*FXs!$C$2</f>
        <v>0</v>
      </c>
      <c r="C191" s="20">
        <f>+IQR_results_usd!C191*FXs!$C$3</f>
        <v>0</v>
      </c>
      <c r="D191" s="20">
        <f>+IQR_results_usd!D191*FXs!$C$4</f>
        <v>0</v>
      </c>
      <c r="E191" s="20">
        <f>+IQR_results_usd!E191*FXs!$C$5</f>
        <v>0</v>
      </c>
      <c r="F191" s="20">
        <f>+IQR_results_usd!F191*FXs!$C$6</f>
        <v>0</v>
      </c>
      <c r="G191" s="20">
        <f>+IQR_results_usd!G191*FXs!$C$7</f>
        <v>0</v>
      </c>
      <c r="H191" s="20">
        <f>+IQR_results_usd!H191*FXs!$C$8</f>
        <v>0</v>
      </c>
      <c r="I191" s="20">
        <f>+IQR_results_usd!I191*FXs!$C$9</f>
        <v>0</v>
      </c>
      <c r="J191" s="20">
        <f>+IQR_results_usd!J191*FXs!$C$10</f>
        <v>0</v>
      </c>
      <c r="K191" s="20">
        <f>+IQR_results_usd!K191*FXs!$C$11</f>
        <v>0</v>
      </c>
    </row>
    <row r="192" spans="1:11">
      <c r="A192" s="5" t="s">
        <v>189</v>
      </c>
      <c r="B192" s="20">
        <f>+IQR_results_usd!B192*FXs!$C$2</f>
        <v>0</v>
      </c>
      <c r="C192" s="20">
        <f>+IQR_results_usd!C192*FXs!$C$3</f>
        <v>0</v>
      </c>
      <c r="D192" s="20">
        <f>+IQR_results_usd!D192*FXs!$C$4</f>
        <v>0</v>
      </c>
      <c r="E192" s="20">
        <f>+IQR_results_usd!E192*FXs!$C$5</f>
        <v>0</v>
      </c>
      <c r="F192" s="20">
        <f>+IQR_results_usd!F192*FXs!$C$6</f>
        <v>0</v>
      </c>
      <c r="G192" s="20">
        <f>+IQR_results_usd!G192*FXs!$C$7</f>
        <v>0</v>
      </c>
      <c r="H192" s="20">
        <f>+IQR_results_usd!H192*FXs!$C$8</f>
        <v>0</v>
      </c>
      <c r="I192" s="20">
        <f>+IQR_results_usd!I192*FXs!$C$9</f>
        <v>0</v>
      </c>
      <c r="J192" s="20">
        <f>+IQR_results_usd!J192*FXs!$C$10</f>
        <v>0</v>
      </c>
      <c r="K192" s="20">
        <f>+IQR_results_usd!K192*FXs!$C$11</f>
        <v>0</v>
      </c>
    </row>
    <row r="193" spans="1:11">
      <c r="A193" s="7" t="s">
        <v>190</v>
      </c>
      <c r="B193" s="20">
        <f>+IQR_results_usd!B193*FXs!$C$2</f>
        <v>194106.09411759002</v>
      </c>
      <c r="C193" s="20">
        <f>+IQR_results_usd!C193*FXs!$C$3</f>
        <v>-51342.730999999971</v>
      </c>
      <c r="D193" s="20">
        <f>+IQR_results_usd!D193*FXs!$C$4</f>
        <v>10919.552000000011</v>
      </c>
      <c r="E193" s="20">
        <f>+IQR_results_usd!E193*FXs!$C$5</f>
        <v>98571.64</v>
      </c>
      <c r="F193" s="20">
        <f>+IQR_results_usd!F193*FXs!$C$6</f>
        <v>81961.009999999951</v>
      </c>
      <c r="G193" s="20">
        <f>+IQR_results_usd!G193*FXs!$C$7</f>
        <v>36030.582999999984</v>
      </c>
      <c r="H193" s="20">
        <f>+IQR_results_usd!H193*FXs!$C$8</f>
        <v>281658.15400000021</v>
      </c>
      <c r="I193" s="20">
        <f>+IQR_results_usd!I193*FXs!$C$9</f>
        <v>529974.83700000006</v>
      </c>
      <c r="J193" s="20">
        <f>+IQR_results_usd!J193*FXs!$C$10</f>
        <v>642450.28900000034</v>
      </c>
      <c r="K193" s="20">
        <f>+IQR_results_usd!K193*FXs!$C$11</f>
        <v>738522.20299999975</v>
      </c>
    </row>
    <row r="194" spans="1:11">
      <c r="A194" s="5" t="s">
        <v>191</v>
      </c>
      <c r="B194" s="20">
        <f>+IQR_results_usd!B194*FXs!$C$2</f>
        <v>892.04599999999994</v>
      </c>
      <c r="C194" s="20">
        <f>+IQR_results_usd!C194*FXs!$C$3</f>
        <v>1452.0530000000001</v>
      </c>
      <c r="D194" s="20">
        <f>+IQR_results_usd!D194*FXs!$C$4</f>
        <v>1422.3869999999999</v>
      </c>
      <c r="E194" s="20">
        <f>+IQR_results_usd!E194*FXs!$C$5</f>
        <v>3915.5450000000005</v>
      </c>
      <c r="F194" s="20">
        <f>+IQR_results_usd!F194*FXs!$C$6</f>
        <v>4017.4980000000005</v>
      </c>
      <c r="G194" s="20">
        <f>+IQR_results_usd!G194*FXs!$C$7</f>
        <v>8296.9189999999999</v>
      </c>
      <c r="H194" s="20">
        <f>+IQR_results_usd!H194*FXs!$C$8</f>
        <v>4856.3109999999997</v>
      </c>
      <c r="I194" s="20">
        <f>+IQR_results_usd!I194*FXs!$C$9</f>
        <v>13528.356999999998</v>
      </c>
      <c r="J194" s="20">
        <f>+IQR_results_usd!J194*FXs!$C$10</f>
        <v>63422.793999999994</v>
      </c>
      <c r="K194" s="20">
        <f>+IQR_results_usd!K194*FXs!$C$11</f>
        <v>98351.05747057496</v>
      </c>
    </row>
    <row r="195" spans="1:11">
      <c r="A195" s="6" t="s">
        <v>192</v>
      </c>
      <c r="B195" s="20">
        <f>+IQR_results_usd!B195*FXs!$C$2</f>
        <v>10715.751</v>
      </c>
      <c r="C195" s="20">
        <f>+IQR_results_usd!C195*FXs!$C$3</f>
        <v>10779.213</v>
      </c>
      <c r="D195" s="20">
        <f>+IQR_results_usd!D195*FXs!$C$4</f>
        <v>24800.598999999998</v>
      </c>
      <c r="E195" s="20">
        <f>+IQR_results_usd!E195*FXs!$C$5</f>
        <v>25746.896000000001</v>
      </c>
      <c r="F195" s="20">
        <f>+IQR_results_usd!F195*FXs!$C$6</f>
        <v>51377.701000000001</v>
      </c>
      <c r="G195" s="20">
        <f>+IQR_results_usd!G195*FXs!$C$7</f>
        <v>96718.956000000006</v>
      </c>
      <c r="H195" s="20">
        <f>+IQR_results_usd!H195*FXs!$C$8</f>
        <v>112284.451</v>
      </c>
      <c r="I195" s="20">
        <f>+IQR_results_usd!I195*FXs!$C$9</f>
        <v>181875.11900000001</v>
      </c>
      <c r="J195" s="20">
        <f>+IQR_results_usd!J195*FXs!$C$10</f>
        <v>354364.14899999998</v>
      </c>
      <c r="K195" s="20">
        <f>+IQR_results_usd!K195*FXs!$C$11</f>
        <v>753089.69499999995</v>
      </c>
    </row>
    <row r="196" spans="1:11">
      <c r="A196" s="5" t="s">
        <v>193</v>
      </c>
      <c r="B196" s="20">
        <f>+IQR_results_usd!B196*FXs!$C$2</f>
        <v>0</v>
      </c>
      <c r="C196" s="20">
        <f>+IQR_results_usd!C196*FXs!$C$3</f>
        <v>0</v>
      </c>
      <c r="D196" s="20">
        <f>+IQR_results_usd!D196*FXs!$C$4</f>
        <v>0</v>
      </c>
      <c r="E196" s="20">
        <f>+IQR_results_usd!E196*FXs!$C$5</f>
        <v>0</v>
      </c>
      <c r="F196" s="20">
        <f>+IQR_results_usd!F196*FXs!$C$6</f>
        <v>0</v>
      </c>
      <c r="G196" s="20">
        <f>+IQR_results_usd!G196*FXs!$C$7</f>
        <v>0</v>
      </c>
      <c r="H196" s="20">
        <f>+IQR_results_usd!H196*FXs!$C$8</f>
        <v>0</v>
      </c>
      <c r="I196" s="20">
        <f>+IQR_results_usd!I196*FXs!$C$9</f>
        <v>0</v>
      </c>
      <c r="J196" s="20">
        <f>+IQR_results_usd!J196*FXs!$C$10</f>
        <v>0</v>
      </c>
      <c r="K196" s="20">
        <f>+IQR_results_usd!K196*FXs!$C$11</f>
        <v>0</v>
      </c>
    </row>
    <row r="197" spans="1:11">
      <c r="A197" s="6" t="s">
        <v>194</v>
      </c>
      <c r="B197" s="20">
        <f>+IQR_results_usd!B197*FXs!$C$2</f>
        <v>0</v>
      </c>
      <c r="C197" s="20">
        <f>+IQR_results_usd!C197*FXs!$C$3</f>
        <v>0</v>
      </c>
      <c r="D197" s="20">
        <f>+IQR_results_usd!D197*FXs!$C$4</f>
        <v>0</v>
      </c>
      <c r="E197" s="20">
        <f>+IQR_results_usd!E197*FXs!$C$5</f>
        <v>0</v>
      </c>
      <c r="F197" s="20">
        <f>+IQR_results_usd!F197*FXs!$C$6</f>
        <v>0</v>
      </c>
      <c r="G197" s="20">
        <f>+IQR_results_usd!G197*FXs!$C$7</f>
        <v>0</v>
      </c>
      <c r="H197" s="20">
        <f>+IQR_results_usd!H197*FXs!$C$8</f>
        <v>0</v>
      </c>
      <c r="I197" s="20">
        <f>+IQR_results_usd!I197*FXs!$C$9</f>
        <v>0</v>
      </c>
      <c r="J197" s="20">
        <f>+IQR_results_usd!J197*FXs!$C$10</f>
        <v>0</v>
      </c>
      <c r="K197" s="20">
        <f>+IQR_results_usd!K197*FXs!$C$11</f>
        <v>0</v>
      </c>
    </row>
    <row r="198" spans="1:11">
      <c r="A198" s="7" t="s">
        <v>195</v>
      </c>
      <c r="B198" s="20">
        <f>+IQR_results_usd!B198*FXs!$C$2</f>
        <v>-9823.7049999999999</v>
      </c>
      <c r="C198" s="20">
        <f>+IQR_results_usd!C198*FXs!$C$3</f>
        <v>-9327.16</v>
      </c>
      <c r="D198" s="20">
        <f>+IQR_results_usd!D198*FXs!$C$4</f>
        <v>-23378.212</v>
      </c>
      <c r="E198" s="20">
        <f>+IQR_results_usd!E198*FXs!$C$5</f>
        <v>-21831.351000000002</v>
      </c>
      <c r="F198" s="20">
        <f>+IQR_results_usd!F198*FXs!$C$6</f>
        <v>-47360.203000000001</v>
      </c>
      <c r="G198" s="20">
        <f>+IQR_results_usd!G198*FXs!$C$7</f>
        <v>-88422.037000000011</v>
      </c>
      <c r="H198" s="20">
        <f>+IQR_results_usd!H198*FXs!$C$8</f>
        <v>-107428.14</v>
      </c>
      <c r="I198" s="20">
        <f>+IQR_results_usd!I198*FXs!$C$9</f>
        <v>-168346.76200000002</v>
      </c>
      <c r="J198" s="20">
        <f>+IQR_results_usd!J198*FXs!$C$10</f>
        <v>-290941.35499999998</v>
      </c>
      <c r="K198" s="20">
        <f>+IQR_results_usd!K198*FXs!$C$11</f>
        <v>425548.77643586474</v>
      </c>
    </row>
    <row r="199" spans="1:11">
      <c r="A199" s="6" t="s">
        <v>196</v>
      </c>
      <c r="B199" s="20">
        <f>+IQR_results_usd!B199*FXs!$C$2</f>
        <v>558.94399999999996</v>
      </c>
      <c r="C199" s="20">
        <f>+IQR_results_usd!C199*FXs!$C$3</f>
        <v>1030.079</v>
      </c>
      <c r="D199" s="20">
        <f>+IQR_results_usd!D199*FXs!$C$4</f>
        <v>5575.2579118432404</v>
      </c>
      <c r="E199" s="20">
        <f>+IQR_results_usd!E199*FXs!$C$5</f>
        <v>2432.6280000000002</v>
      </c>
      <c r="F199" s="20">
        <f>+IQR_results_usd!F199*FXs!$C$6</f>
        <v>0</v>
      </c>
      <c r="G199" s="20">
        <f>+IQR_results_usd!G199*FXs!$C$7</f>
        <v>0</v>
      </c>
      <c r="H199" s="20">
        <f>+IQR_results_usd!H199*FXs!$C$8</f>
        <v>0</v>
      </c>
      <c r="I199" s="20">
        <f>+IQR_results_usd!I199*FXs!$C$9</f>
        <v>7167.4080000000004</v>
      </c>
      <c r="J199" s="20">
        <f>+IQR_results_usd!J199*FXs!$C$10</f>
        <v>0</v>
      </c>
      <c r="K199" s="20">
        <f>+IQR_results_usd!K199*FXs!$C$11</f>
        <v>0</v>
      </c>
    </row>
    <row r="200" spans="1:11">
      <c r="A200" s="5" t="s">
        <v>197</v>
      </c>
      <c r="B200" s="20">
        <f>+IQR_results_usd!B200*FXs!$C$2</f>
        <v>0</v>
      </c>
      <c r="C200" s="20">
        <f>+IQR_results_usd!C200*FXs!$C$3</f>
        <v>0</v>
      </c>
      <c r="D200" s="20">
        <f>+IQR_results_usd!D200*FXs!$C$4</f>
        <v>0.14699999999999999</v>
      </c>
      <c r="E200" s="20">
        <f>+IQR_results_usd!E200*FXs!$C$5</f>
        <v>14.585000000000003</v>
      </c>
      <c r="F200" s="20">
        <f>+IQR_results_usd!F200*FXs!$C$6</f>
        <v>0</v>
      </c>
      <c r="G200" s="20">
        <f>+IQR_results_usd!G200*FXs!$C$7</f>
        <v>82.288669685771865</v>
      </c>
      <c r="H200" s="20">
        <f>+IQR_results_usd!H200*FXs!$C$8</f>
        <v>0</v>
      </c>
      <c r="I200" s="20">
        <f>+IQR_results_usd!I200*FXs!$C$9</f>
        <v>44.944000000000003</v>
      </c>
      <c r="J200" s="20">
        <f>+IQR_results_usd!J200*FXs!$C$10</f>
        <v>309.313280327754</v>
      </c>
      <c r="K200" s="20">
        <f>+IQR_results_usd!K200*FXs!$C$11</f>
        <v>-278.99542274677145</v>
      </c>
    </row>
    <row r="201" spans="1:11">
      <c r="A201" s="6" t="s">
        <v>198</v>
      </c>
      <c r="B201" s="20">
        <f>+IQR_results_usd!B201*FXs!$C$2</f>
        <v>0</v>
      </c>
      <c r="C201" s="20">
        <f>+IQR_results_usd!C201*FXs!$C$3</f>
        <v>0</v>
      </c>
      <c r="D201" s="20">
        <f>+IQR_results_usd!D201*FXs!$C$4</f>
        <v>0</v>
      </c>
      <c r="E201" s="20">
        <f>+IQR_results_usd!E201*FXs!$C$5</f>
        <v>0</v>
      </c>
      <c r="F201" s="20">
        <f>+IQR_results_usd!F201*FXs!$C$6</f>
        <v>0</v>
      </c>
      <c r="G201" s="20">
        <f>+IQR_results_usd!G201*FXs!$C$7</f>
        <v>0</v>
      </c>
      <c r="H201" s="20">
        <f>+IQR_results_usd!H201*FXs!$C$8</f>
        <v>0</v>
      </c>
      <c r="I201" s="20">
        <f>+IQR_results_usd!I201*FXs!$C$9</f>
        <v>0</v>
      </c>
      <c r="J201" s="20">
        <f>+IQR_results_usd!J201*FXs!$C$10</f>
        <v>0</v>
      </c>
      <c r="K201" s="20">
        <f>+IQR_results_usd!K201*FXs!$C$11</f>
        <v>0</v>
      </c>
    </row>
    <row r="202" spans="1:11">
      <c r="A202" s="5" t="s">
        <v>199</v>
      </c>
      <c r="B202" s="20">
        <f>+IQR_results_usd!B202*FXs!$C$2</f>
        <v>0</v>
      </c>
      <c r="C202" s="20">
        <f>+IQR_results_usd!C202*FXs!$C$3</f>
        <v>0</v>
      </c>
      <c r="D202" s="20">
        <f>+IQR_results_usd!D202*FXs!$C$4</f>
        <v>-62169.014000000003</v>
      </c>
      <c r="E202" s="20">
        <f>+IQR_results_usd!E202*FXs!$C$5</f>
        <v>0</v>
      </c>
      <c r="F202" s="20">
        <f>+IQR_results_usd!F202*FXs!$C$6</f>
        <v>-110690.113</v>
      </c>
      <c r="G202" s="20">
        <f>+IQR_results_usd!G202*FXs!$C$7</f>
        <v>-202141.71900000001</v>
      </c>
      <c r="H202" s="20">
        <f>+IQR_results_usd!H202*FXs!$C$8</f>
        <v>0</v>
      </c>
      <c r="I202" s="20">
        <f>+IQR_results_usd!I202*FXs!$C$9</f>
        <v>0</v>
      </c>
      <c r="J202" s="20">
        <f>+IQR_results_usd!J202*FXs!$C$10</f>
        <v>0</v>
      </c>
      <c r="K202" s="20">
        <f>+IQR_results_usd!K202*FXs!$C$11</f>
        <v>0</v>
      </c>
    </row>
    <row r="203" spans="1:11">
      <c r="A203" s="6" t="s">
        <v>200</v>
      </c>
      <c r="B203" s="20">
        <f>+IQR_results_usd!B203*FXs!$C$2</f>
        <v>0</v>
      </c>
      <c r="C203" s="20">
        <f>+IQR_results_usd!C203*FXs!$C$3</f>
        <v>0</v>
      </c>
      <c r="D203" s="20">
        <f>+IQR_results_usd!D203*FXs!$C$4</f>
        <v>0</v>
      </c>
      <c r="E203" s="20">
        <f>+IQR_results_usd!E203*FXs!$C$5</f>
        <v>0</v>
      </c>
      <c r="F203" s="20">
        <f>+IQR_results_usd!F203*FXs!$C$6</f>
        <v>0</v>
      </c>
      <c r="G203" s="20">
        <f>+IQR_results_usd!G203*FXs!$C$7</f>
        <v>0</v>
      </c>
      <c r="H203" s="20">
        <f>+IQR_results_usd!H203*FXs!$C$8</f>
        <v>0</v>
      </c>
      <c r="I203" s="20">
        <f>+IQR_results_usd!I203*FXs!$C$9</f>
        <v>0</v>
      </c>
      <c r="J203" s="20">
        <f>+IQR_results_usd!J203*FXs!$C$10</f>
        <v>0</v>
      </c>
      <c r="K203" s="20">
        <f>+IQR_results_usd!K203*FXs!$C$11</f>
        <v>0</v>
      </c>
    </row>
    <row r="204" spans="1:11">
      <c r="A204" s="7" t="s">
        <v>201</v>
      </c>
      <c r="B204" s="20">
        <f>+IQR_results_usd!B204*FXs!$C$2</f>
        <v>558.94399999999996</v>
      </c>
      <c r="C204" s="20">
        <f>+IQR_results_usd!C204*FXs!$C$3</f>
        <v>1030.079</v>
      </c>
      <c r="D204" s="20">
        <f>+IQR_results_usd!D204*FXs!$C$4</f>
        <v>-56586.221000000005</v>
      </c>
      <c r="E204" s="20">
        <f>+IQR_results_usd!E204*FXs!$C$5</f>
        <v>2447.2130000000002</v>
      </c>
      <c r="F204" s="20">
        <f>+IQR_results_usd!F204*FXs!$C$6</f>
        <v>-110690.113</v>
      </c>
      <c r="G204" s="20">
        <f>+IQR_results_usd!G204*FXs!$C$7</f>
        <v>-201912.16100000002</v>
      </c>
      <c r="H204" s="20">
        <f>+IQR_results_usd!H204*FXs!$C$8</f>
        <v>0</v>
      </c>
      <c r="I204" s="20">
        <f>+IQR_results_usd!I204*FXs!$C$9</f>
        <v>7212.3520000000008</v>
      </c>
      <c r="J204" s="20">
        <f>+IQR_results_usd!J204*FXs!$C$10</f>
        <v>17009.577000000001</v>
      </c>
      <c r="K204" s="20">
        <f>+IQR_results_usd!K204*FXs!$C$11</f>
        <v>-158804.19099999999</v>
      </c>
    </row>
    <row r="205" spans="1:11">
      <c r="A205" s="6" t="s">
        <v>202</v>
      </c>
      <c r="B205" s="20">
        <f>+IQR_results_usd!B205*FXs!$C$2</f>
        <v>0</v>
      </c>
      <c r="C205" s="20">
        <f>+IQR_results_usd!C205*FXs!$C$3</f>
        <v>0</v>
      </c>
      <c r="D205" s="20">
        <f>+IQR_results_usd!D205*FXs!$C$4</f>
        <v>0</v>
      </c>
      <c r="E205" s="20">
        <f>+IQR_results_usd!E205*FXs!$C$5</f>
        <v>0</v>
      </c>
      <c r="F205" s="20">
        <f>+IQR_results_usd!F205*FXs!$C$6</f>
        <v>0</v>
      </c>
      <c r="G205" s="20">
        <f>+IQR_results_usd!G205*FXs!$C$7</f>
        <v>0</v>
      </c>
      <c r="H205" s="20">
        <f>+IQR_results_usd!H205*FXs!$C$8</f>
        <v>0</v>
      </c>
      <c r="I205" s="20">
        <f>+IQR_results_usd!I205*FXs!$C$9</f>
        <v>0</v>
      </c>
      <c r="J205" s="20">
        <f>+IQR_results_usd!J205*FXs!$C$10</f>
        <v>0</v>
      </c>
      <c r="K205" s="20">
        <f>+IQR_results_usd!K205*FXs!$C$11</f>
        <v>0</v>
      </c>
    </row>
    <row r="206" spans="1:11">
      <c r="A206" s="5" t="s">
        <v>203</v>
      </c>
      <c r="B206" s="20">
        <f>+IQR_results_usd!B206*FXs!$C$2</f>
        <v>0</v>
      </c>
      <c r="C206" s="20">
        <f>+IQR_results_usd!C206*FXs!$C$3</f>
        <v>0</v>
      </c>
      <c r="D206" s="20">
        <f>+IQR_results_usd!D206*FXs!$C$4</f>
        <v>0</v>
      </c>
      <c r="E206" s="20">
        <f>+IQR_results_usd!E206*FXs!$C$5</f>
        <v>0</v>
      </c>
      <c r="F206" s="20">
        <f>+IQR_results_usd!F206*FXs!$C$6</f>
        <v>0</v>
      </c>
      <c r="G206" s="20">
        <f>+IQR_results_usd!G206*FXs!$C$7</f>
        <v>0</v>
      </c>
      <c r="H206" s="20">
        <f>+IQR_results_usd!H206*FXs!$C$8</f>
        <v>0</v>
      </c>
      <c r="I206" s="20">
        <f>+IQR_results_usd!I206*FXs!$C$9</f>
        <v>0</v>
      </c>
      <c r="J206" s="20">
        <f>+IQR_results_usd!J206*FXs!$C$10</f>
        <v>0</v>
      </c>
      <c r="K206" s="20">
        <f>+IQR_results_usd!K206*FXs!$C$11</f>
        <v>0</v>
      </c>
    </row>
    <row r="207" spans="1:11">
      <c r="A207" s="6" t="s">
        <v>204</v>
      </c>
      <c r="B207" s="20">
        <f>+IQR_results_usd!B207*FXs!$C$2</f>
        <v>0</v>
      </c>
      <c r="C207" s="20">
        <f>+IQR_results_usd!C207*FXs!$C$3</f>
        <v>0</v>
      </c>
      <c r="D207" s="20">
        <f>+IQR_results_usd!D207*FXs!$C$4</f>
        <v>0</v>
      </c>
      <c r="E207" s="20">
        <f>+IQR_results_usd!E207*FXs!$C$5</f>
        <v>0</v>
      </c>
      <c r="F207" s="20">
        <f>+IQR_results_usd!F207*FXs!$C$6</f>
        <v>0</v>
      </c>
      <c r="G207" s="20">
        <f>+IQR_results_usd!G207*FXs!$C$7</f>
        <v>0</v>
      </c>
      <c r="H207" s="20">
        <f>+IQR_results_usd!H207*FXs!$C$8</f>
        <v>0</v>
      </c>
      <c r="I207" s="20">
        <f>+IQR_results_usd!I207*FXs!$C$9</f>
        <v>0</v>
      </c>
      <c r="J207" s="20">
        <f>+IQR_results_usd!J207*FXs!$C$10</f>
        <v>0</v>
      </c>
      <c r="K207" s="20">
        <f>+IQR_results_usd!K207*FXs!$C$11</f>
        <v>0</v>
      </c>
    </row>
    <row r="208" spans="1:11">
      <c r="A208" s="5" t="s">
        <v>205</v>
      </c>
      <c r="B208" s="20">
        <f>+IQR_results_usd!B208*FXs!$C$2</f>
        <v>0</v>
      </c>
      <c r="C208" s="20">
        <f>+IQR_results_usd!C208*FXs!$C$3</f>
        <v>-15830.769</v>
      </c>
      <c r="D208" s="20">
        <f>+IQR_results_usd!D208*FXs!$C$4</f>
        <v>34461.94</v>
      </c>
      <c r="E208" s="20">
        <f>+IQR_results_usd!E208*FXs!$C$5</f>
        <v>-105097.38099999999</v>
      </c>
      <c r="F208" s="20">
        <f>+IQR_results_usd!F208*FXs!$C$6</f>
        <v>64345.806000000004</v>
      </c>
      <c r="G208" s="20">
        <f>+IQR_results_usd!G208*FXs!$C$7</f>
        <v>34602.197999999997</v>
      </c>
      <c r="H208" s="20">
        <f>+IQR_results_usd!H208*FXs!$C$8</f>
        <v>-254075.40800000002</v>
      </c>
      <c r="I208" s="20">
        <f>+IQR_results_usd!I208*FXs!$C$9</f>
        <v>-182266.91399999999</v>
      </c>
      <c r="J208" s="20">
        <f>+IQR_results_usd!J208*FXs!$C$10</f>
        <v>-344307.72499999998</v>
      </c>
      <c r="K208" s="20">
        <f>+IQR_results_usd!K208*FXs!$C$11</f>
        <v>-733420.11499999999</v>
      </c>
    </row>
    <row r="209" spans="1:11">
      <c r="A209" s="6" t="s">
        <v>206</v>
      </c>
      <c r="B209" s="20">
        <f>+IQR_results_usd!B209*FXs!$C$2</f>
        <v>0</v>
      </c>
      <c r="C209" s="20">
        <f>+IQR_results_usd!C209*FXs!$C$3</f>
        <v>0</v>
      </c>
      <c r="D209" s="20">
        <f>+IQR_results_usd!D209*FXs!$C$4</f>
        <v>0</v>
      </c>
      <c r="E209" s="20">
        <f>+IQR_results_usd!E209*FXs!$C$5</f>
        <v>0</v>
      </c>
      <c r="F209" s="20">
        <f>+IQR_results_usd!F209*FXs!$C$6</f>
        <v>0</v>
      </c>
      <c r="G209" s="20">
        <f>+IQR_results_usd!G209*FXs!$C$7</f>
        <v>0</v>
      </c>
      <c r="H209" s="20">
        <f>+IQR_results_usd!H209*FXs!$C$8</f>
        <v>0</v>
      </c>
      <c r="I209" s="20">
        <f>+IQR_results_usd!I209*FXs!$C$9</f>
        <v>0</v>
      </c>
      <c r="J209" s="20">
        <f>+IQR_results_usd!J209*FXs!$C$10</f>
        <v>0</v>
      </c>
      <c r="K209" s="20">
        <f>+IQR_results_usd!K209*FXs!$C$11</f>
        <v>0</v>
      </c>
    </row>
    <row r="210" spans="1:11">
      <c r="A210" s="5" t="s">
        <v>207</v>
      </c>
      <c r="B210" s="20">
        <f>+IQR_results_usd!B210*FXs!$C$2</f>
        <v>0</v>
      </c>
      <c r="C210" s="20">
        <f>+IQR_results_usd!C210*FXs!$C$3</f>
        <v>0</v>
      </c>
      <c r="D210" s="20">
        <f>+IQR_results_usd!D210*FXs!$C$4</f>
        <v>0</v>
      </c>
      <c r="E210" s="20">
        <f>+IQR_results_usd!E210*FXs!$C$5</f>
        <v>0</v>
      </c>
      <c r="F210" s="20">
        <f>+IQR_results_usd!F210*FXs!$C$6</f>
        <v>0</v>
      </c>
      <c r="G210" s="20">
        <f>+IQR_results_usd!G210*FXs!$C$7</f>
        <v>0</v>
      </c>
      <c r="H210" s="20">
        <f>+IQR_results_usd!H210*FXs!$C$8</f>
        <v>0</v>
      </c>
      <c r="I210" s="20">
        <f>+IQR_results_usd!I210*FXs!$C$9</f>
        <v>0</v>
      </c>
      <c r="J210" s="20">
        <f>+IQR_results_usd!J210*FXs!$C$10</f>
        <v>0</v>
      </c>
      <c r="K210" s="20">
        <f>+IQR_results_usd!K210*FXs!$C$11</f>
        <v>0</v>
      </c>
    </row>
    <row r="211" spans="1:11">
      <c r="A211" s="6" t="s">
        <v>208</v>
      </c>
      <c r="B211" s="20">
        <f>+IQR_results_usd!B211*FXs!$C$2</f>
        <v>291.00700000000001</v>
      </c>
      <c r="C211" s="20">
        <f>+IQR_results_usd!C211*FXs!$C$3</f>
        <v>3336.7890000000002</v>
      </c>
      <c r="D211" s="20">
        <f>+IQR_results_usd!D211*FXs!$C$4</f>
        <v>26929.210999999999</v>
      </c>
      <c r="E211" s="20">
        <f>+IQR_results_usd!E211*FXs!$C$5</f>
        <v>23123.981</v>
      </c>
      <c r="F211" s="20">
        <f>+IQR_results_usd!F211*FXs!$C$6</f>
        <v>26971.612000000001</v>
      </c>
      <c r="G211" s="20">
        <f>+IQR_results_usd!G211*FXs!$C$7</f>
        <v>69250.080000000002</v>
      </c>
      <c r="H211" s="20">
        <f>+IQR_results_usd!H211*FXs!$C$8</f>
        <v>63566.121000000006</v>
      </c>
      <c r="I211" s="20">
        <f>+IQR_results_usd!I211*FXs!$C$9</f>
        <v>-19192.617999999999</v>
      </c>
      <c r="J211" s="20">
        <f>+IQR_results_usd!J211*FXs!$C$10</f>
        <v>-89658.004000000001</v>
      </c>
      <c r="K211" s="20">
        <f>+IQR_results_usd!K211*FXs!$C$11</f>
        <v>791920.56299999997</v>
      </c>
    </row>
    <row r="212" spans="1:11">
      <c r="A212" s="5" t="s">
        <v>209</v>
      </c>
      <c r="B212" s="20">
        <f>+IQR_results_usd!B212*FXs!$C$2</f>
        <v>0</v>
      </c>
      <c r="C212" s="20">
        <f>+IQR_results_usd!C212*FXs!$C$3</f>
        <v>0</v>
      </c>
      <c r="D212" s="20">
        <f>+IQR_results_usd!D212*FXs!$C$4</f>
        <v>0</v>
      </c>
      <c r="E212" s="20">
        <f>+IQR_results_usd!E212*FXs!$C$5</f>
        <v>0</v>
      </c>
      <c r="F212" s="20">
        <f>+IQR_results_usd!F212*FXs!$C$6</f>
        <v>0</v>
      </c>
      <c r="G212" s="20">
        <f>+IQR_results_usd!G212*FXs!$C$7</f>
        <v>0</v>
      </c>
      <c r="H212" s="20">
        <f>+IQR_results_usd!H212*FXs!$C$8</f>
        <v>0</v>
      </c>
      <c r="I212" s="20">
        <f>+IQR_results_usd!I212*FXs!$C$9</f>
        <v>0</v>
      </c>
      <c r="J212" s="20">
        <f>+IQR_results_usd!J212*FXs!$C$10</f>
        <v>0</v>
      </c>
      <c r="K212" s="20">
        <f>+IQR_results_usd!K212*FXs!$C$11</f>
        <v>0</v>
      </c>
    </row>
    <row r="213" spans="1:11">
      <c r="A213" s="6" t="s">
        <v>210</v>
      </c>
      <c r="B213" s="20">
        <f>+IQR_results_usd!B213*FXs!$C$2</f>
        <v>0</v>
      </c>
      <c r="C213" s="20">
        <f>+IQR_results_usd!C213*FXs!$C$3</f>
        <v>0</v>
      </c>
      <c r="D213" s="20">
        <f>+IQR_results_usd!D213*FXs!$C$4</f>
        <v>0</v>
      </c>
      <c r="E213" s="20">
        <f>+IQR_results_usd!E213*FXs!$C$5</f>
        <v>0</v>
      </c>
      <c r="F213" s="20">
        <f>+IQR_results_usd!F213*FXs!$C$6</f>
        <v>0</v>
      </c>
      <c r="G213" s="20">
        <f>+IQR_results_usd!G213*FXs!$C$7</f>
        <v>0</v>
      </c>
      <c r="H213" s="20">
        <f>+IQR_results_usd!H213*FXs!$C$8</f>
        <v>0</v>
      </c>
      <c r="I213" s="20">
        <f>+IQR_results_usd!I213*FXs!$C$9</f>
        <v>0</v>
      </c>
      <c r="J213" s="20">
        <f>+IQR_results_usd!J213*FXs!$C$10</f>
        <v>0</v>
      </c>
      <c r="K213" s="20">
        <f>+IQR_results_usd!K213*FXs!$C$11</f>
        <v>0</v>
      </c>
    </row>
    <row r="214" spans="1:11">
      <c r="A214" s="7" t="s">
        <v>211</v>
      </c>
      <c r="B214" s="20">
        <f>+IQR_results_usd!B214*FXs!$C$2</f>
        <v>291.00700000000001</v>
      </c>
      <c r="C214" s="20">
        <f>+IQR_results_usd!C214*FXs!$C$3</f>
        <v>-12493.98</v>
      </c>
      <c r="D214" s="20">
        <f>+IQR_results_usd!D214*FXs!$C$4</f>
        <v>61391.150999999998</v>
      </c>
      <c r="E214" s="20">
        <f>+IQR_results_usd!E214*FXs!$C$5</f>
        <v>-81973.399999999994</v>
      </c>
      <c r="F214" s="20">
        <f>+IQR_results_usd!F214*FXs!$C$6</f>
        <v>91317.418000000005</v>
      </c>
      <c r="G214" s="20">
        <f>+IQR_results_usd!G214*FXs!$C$7</f>
        <v>103852.27799999999</v>
      </c>
      <c r="H214" s="20">
        <f>+IQR_results_usd!H214*FXs!$C$8</f>
        <v>-190509.28700000001</v>
      </c>
      <c r="I214" s="20">
        <f>+IQR_results_usd!I214*FXs!$C$9</f>
        <v>-201459.53199999998</v>
      </c>
      <c r="J214" s="20">
        <f>+IQR_results_usd!J214*FXs!$C$10</f>
        <v>-433965.72899999999</v>
      </c>
      <c r="K214" s="20">
        <f>+IQR_results_usd!K214*FXs!$C$11</f>
        <v>58500.447999999975</v>
      </c>
    </row>
    <row r="215" spans="1:11">
      <c r="A215" s="6" t="s">
        <v>212</v>
      </c>
      <c r="B215" s="20">
        <f>+IQR_results_usd!B215*FXs!$C$2</f>
        <v>0</v>
      </c>
      <c r="C215" s="20">
        <f>+IQR_results_usd!C215*FXs!$C$3</f>
        <v>0</v>
      </c>
      <c r="D215" s="20">
        <f>+IQR_results_usd!D215*FXs!$C$4</f>
        <v>0</v>
      </c>
      <c r="E215" s="20">
        <f>+IQR_results_usd!E215*FXs!$C$5</f>
        <v>0</v>
      </c>
      <c r="F215" s="20">
        <f>+IQR_results_usd!F215*FXs!$C$6</f>
        <v>0</v>
      </c>
      <c r="G215" s="20">
        <f>+IQR_results_usd!G215*FXs!$C$7</f>
        <v>0</v>
      </c>
      <c r="H215" s="20">
        <f>+IQR_results_usd!H215*FXs!$C$8</f>
        <v>0</v>
      </c>
      <c r="I215" s="20">
        <f>+IQR_results_usd!I215*FXs!$C$9</f>
        <v>0</v>
      </c>
      <c r="J215" s="20">
        <f>+IQR_results_usd!J215*FXs!$C$10</f>
        <v>0</v>
      </c>
      <c r="K215" s="20">
        <f>+IQR_results_usd!K215*FXs!$C$11</f>
        <v>0</v>
      </c>
    </row>
    <row r="216" spans="1:11">
      <c r="A216" s="5" t="s">
        <v>213</v>
      </c>
      <c r="B216" s="20">
        <f>+IQR_results_usd!B216*FXs!$C$2</f>
        <v>0</v>
      </c>
      <c r="C216" s="20">
        <f>+IQR_results_usd!C216*FXs!$C$3</f>
        <v>0</v>
      </c>
      <c r="D216" s="20">
        <f>+IQR_results_usd!D216*FXs!$C$4</f>
        <v>0</v>
      </c>
      <c r="E216" s="20">
        <f>+IQR_results_usd!E216*FXs!$C$5</f>
        <v>0</v>
      </c>
      <c r="F216" s="20">
        <f>+IQR_results_usd!F216*FXs!$C$6</f>
        <v>0</v>
      </c>
      <c r="G216" s="20">
        <f>+IQR_results_usd!G216*FXs!$C$7</f>
        <v>0</v>
      </c>
      <c r="H216" s="20">
        <f>+IQR_results_usd!H216*FXs!$C$8</f>
        <v>0</v>
      </c>
      <c r="I216" s="20">
        <f>+IQR_results_usd!I216*FXs!$C$9</f>
        <v>0</v>
      </c>
      <c r="J216" s="20">
        <f>+IQR_results_usd!J216*FXs!$C$10</f>
        <v>0</v>
      </c>
      <c r="K216" s="20">
        <f>+IQR_results_usd!K216*FXs!$C$11</f>
        <v>0</v>
      </c>
    </row>
    <row r="217" spans="1:11">
      <c r="A217" s="7" t="s">
        <v>214</v>
      </c>
      <c r="B217" s="20">
        <f>+IQR_results_usd!B217*FXs!$C$2</f>
        <v>105363.84167894261</v>
      </c>
      <c r="C217" s="20">
        <f>+IQR_results_usd!C217*FXs!$C$3</f>
        <v>-72133.791999999972</v>
      </c>
      <c r="D217" s="20">
        <f>+IQR_results_usd!D217*FXs!$C$4</f>
        <v>-7653.7299999999959</v>
      </c>
      <c r="E217" s="20">
        <f>+IQR_results_usd!E217*FXs!$C$5</f>
        <v>-2785.8979999999719</v>
      </c>
      <c r="F217" s="20">
        <f>+IQR_results_usd!F217*FXs!$C$6</f>
        <v>15228.111999999966</v>
      </c>
      <c r="G217" s="20">
        <f>+IQR_results_usd!G217*FXs!$C$7</f>
        <v>-150451.33700000006</v>
      </c>
      <c r="H217" s="20">
        <f>+IQR_results_usd!H217*FXs!$C$8</f>
        <v>-16279.272999999812</v>
      </c>
      <c r="I217" s="20">
        <f>+IQR_results_usd!I217*FXs!$C$9</f>
        <v>167380.89500000011</v>
      </c>
      <c r="J217" s="20">
        <f>+IQR_results_usd!J217*FXs!$C$10</f>
        <v>-65447.217999999652</v>
      </c>
      <c r="K217" s="20">
        <f>+IQR_results_usd!K217*FXs!$C$11</f>
        <v>1166369.9629999995</v>
      </c>
    </row>
    <row r="218" spans="1:11">
      <c r="A218" s="5" t="s">
        <v>215</v>
      </c>
      <c r="B218" s="20">
        <f>+IQR_results_usd!B218*FXs!$C$2</f>
        <v>0</v>
      </c>
      <c r="C218" s="20">
        <f>+IQR_results_usd!C218*FXs!$C$3</f>
        <v>0</v>
      </c>
      <c r="D218" s="20">
        <f>+IQR_results_usd!D218*FXs!$C$4</f>
        <v>0</v>
      </c>
      <c r="E218" s="20">
        <f>+IQR_results_usd!E218*FXs!$C$5</f>
        <v>0</v>
      </c>
      <c r="F218" s="20">
        <f>+IQR_results_usd!F218*FXs!$C$6</f>
        <v>0</v>
      </c>
      <c r="G218" s="20">
        <f>+IQR_results_usd!G218*FXs!$C$7</f>
        <v>0</v>
      </c>
      <c r="H218" s="20">
        <f>+IQR_results_usd!H218*FXs!$C$8</f>
        <v>0</v>
      </c>
      <c r="I218" s="20">
        <f>+IQR_results_usd!I218*FXs!$C$9</f>
        <v>0</v>
      </c>
      <c r="J218" s="20">
        <f>+IQR_results_usd!J218*FXs!$C$10</f>
        <v>0</v>
      </c>
      <c r="K218" s="20">
        <f>+IQR_results_usd!K218*FXs!$C$11</f>
        <v>0</v>
      </c>
    </row>
    <row r="219" spans="1:11">
      <c r="A219" s="6" t="s">
        <v>216</v>
      </c>
      <c r="B219" s="20">
        <f>+IQR_results_usd!B219*FXs!$C$2</f>
        <v>0</v>
      </c>
      <c r="C219" s="20">
        <f>+IQR_results_usd!C219*FXs!$C$3</f>
        <v>0</v>
      </c>
      <c r="D219" s="20">
        <f>+IQR_results_usd!D219*FXs!$C$4</f>
        <v>0</v>
      </c>
      <c r="E219" s="20">
        <f>+IQR_results_usd!E219*FXs!$C$5</f>
        <v>0</v>
      </c>
      <c r="F219" s="20">
        <f>+IQR_results_usd!F219*FXs!$C$6</f>
        <v>0</v>
      </c>
      <c r="G219" s="20">
        <f>+IQR_results_usd!G219*FXs!$C$7</f>
        <v>0</v>
      </c>
      <c r="H219" s="20">
        <f>+IQR_results_usd!H219*FXs!$C$8</f>
        <v>0</v>
      </c>
      <c r="I219" s="20">
        <f>+IQR_results_usd!I219*FXs!$C$9</f>
        <v>0</v>
      </c>
      <c r="J219" s="20">
        <f>+IQR_results_usd!J219*FXs!$C$10</f>
        <v>0</v>
      </c>
      <c r="K219" s="20">
        <f>+IQR_results_usd!K219*FXs!$C$11</f>
        <v>0</v>
      </c>
    </row>
    <row r="220" spans="1:11">
      <c r="A220" s="5" t="s">
        <v>217</v>
      </c>
      <c r="B220" s="20">
        <f>+IQR_results_usd!B220*FXs!$C$2</f>
        <v>0</v>
      </c>
      <c r="C220" s="20">
        <f>+IQR_results_usd!C220*FXs!$C$3</f>
        <v>0</v>
      </c>
      <c r="D220" s="20">
        <f>+IQR_results_usd!D220*FXs!$C$4</f>
        <v>0</v>
      </c>
      <c r="E220" s="20">
        <f>+IQR_results_usd!E220*FXs!$C$5</f>
        <v>0</v>
      </c>
      <c r="F220" s="20">
        <f>+IQR_results_usd!F220*FXs!$C$6</f>
        <v>0</v>
      </c>
      <c r="G220" s="20">
        <f>+IQR_results_usd!G220*FXs!$C$7</f>
        <v>0</v>
      </c>
      <c r="H220" s="20">
        <f>+IQR_results_usd!H220*FXs!$C$8</f>
        <v>0</v>
      </c>
      <c r="I220" s="20">
        <f>+IQR_results_usd!I220*FXs!$C$9</f>
        <v>0</v>
      </c>
      <c r="J220" s="20">
        <f>+IQR_results_usd!J220*FXs!$C$10</f>
        <v>0</v>
      </c>
      <c r="K220" s="20">
        <f>+IQR_results_usd!K220*FXs!$C$11</f>
        <v>0</v>
      </c>
    </row>
    <row r="221" spans="1:11">
      <c r="A221" s="7" t="s">
        <v>218</v>
      </c>
      <c r="B221" s="20">
        <f>+IQR_results_usd!B221*FXs!$C$2</f>
        <v>0</v>
      </c>
      <c r="C221" s="20">
        <f>+IQR_results_usd!C221*FXs!$C$3</f>
        <v>0</v>
      </c>
      <c r="D221" s="20">
        <f>+IQR_results_usd!D221*FXs!$C$4</f>
        <v>0</v>
      </c>
      <c r="E221" s="20">
        <f>+IQR_results_usd!E221*FXs!$C$5</f>
        <v>0</v>
      </c>
      <c r="F221" s="20">
        <f>+IQR_results_usd!F221*FXs!$C$6</f>
        <v>0</v>
      </c>
      <c r="G221" s="20">
        <f>+IQR_results_usd!G221*FXs!$C$7</f>
        <v>0</v>
      </c>
      <c r="H221" s="20">
        <f>+IQR_results_usd!H221*FXs!$C$8</f>
        <v>0</v>
      </c>
      <c r="I221" s="20">
        <f>+IQR_results_usd!I221*FXs!$C$9</f>
        <v>0</v>
      </c>
      <c r="J221" s="20">
        <f>+IQR_results_usd!J221*FXs!$C$10</f>
        <v>0</v>
      </c>
      <c r="K221" s="20">
        <f>+IQR_results_usd!K221*FXs!$C$11</f>
        <v>0</v>
      </c>
    </row>
    <row r="222" spans="1:11">
      <c r="A222" s="7" t="s">
        <v>219</v>
      </c>
      <c r="B222" s="20">
        <f>+IQR_results_usd!B222*FXs!$C$2</f>
        <v>105363.84167894261</v>
      </c>
      <c r="C222" s="20">
        <f>+IQR_results_usd!C222*FXs!$C$3</f>
        <v>-72133.791999999972</v>
      </c>
      <c r="D222" s="20">
        <f>+IQR_results_usd!D222*FXs!$C$4</f>
        <v>-7653.7299999999959</v>
      </c>
      <c r="E222" s="20">
        <f>+IQR_results_usd!E222*FXs!$C$5</f>
        <v>-2785.8979999999719</v>
      </c>
      <c r="F222" s="20">
        <f>+IQR_results_usd!F222*FXs!$C$6</f>
        <v>15228.111999999966</v>
      </c>
      <c r="G222" s="20">
        <f>+IQR_results_usd!G222*FXs!$C$7</f>
        <v>-150451.33700000006</v>
      </c>
      <c r="H222" s="20">
        <f>+IQR_results_usd!H222*FXs!$C$8</f>
        <v>-16279.272999999812</v>
      </c>
      <c r="I222" s="20">
        <f>+IQR_results_usd!I222*FXs!$C$9</f>
        <v>167380.89500000011</v>
      </c>
      <c r="J222" s="20">
        <f>+IQR_results_usd!J222*FXs!$C$10</f>
        <v>-65447.217999999652</v>
      </c>
      <c r="K222" s="20">
        <f>+IQR_results_usd!K222*FXs!$C$11</f>
        <v>1111728.1079999995</v>
      </c>
    </row>
    <row r="223" spans="1:11">
      <c r="A223" s="6" t="s">
        <v>220</v>
      </c>
      <c r="B223" s="20">
        <f>+IQR_results_usd!B223*FXs!$C$2</f>
        <v>0</v>
      </c>
      <c r="C223" s="20">
        <f>+IQR_results_usd!C223*FXs!$C$3</f>
        <v>0</v>
      </c>
      <c r="D223" s="20">
        <f>+IQR_results_usd!D223*FXs!$C$4</f>
        <v>0</v>
      </c>
      <c r="E223" s="20">
        <f>+IQR_results_usd!E223*FXs!$C$5</f>
        <v>0</v>
      </c>
      <c r="F223" s="20">
        <f>+IQR_results_usd!F223*FXs!$C$6</f>
        <v>0</v>
      </c>
      <c r="G223" s="20">
        <f>+IQR_results_usd!G223*FXs!$C$7</f>
        <v>0</v>
      </c>
      <c r="H223" s="20">
        <f>+IQR_results_usd!H223*FXs!$C$8</f>
        <v>0</v>
      </c>
      <c r="I223" s="20">
        <f>+IQR_results_usd!I223*FXs!$C$9</f>
        <v>0</v>
      </c>
      <c r="J223" s="20">
        <f>+IQR_results_usd!J223*FXs!$C$10</f>
        <v>0</v>
      </c>
      <c r="K223" s="20">
        <f>+IQR_results_usd!K223*FXs!$C$11</f>
        <v>0</v>
      </c>
    </row>
    <row r="224" spans="1:11">
      <c r="A224" s="5" t="s">
        <v>221</v>
      </c>
      <c r="B224" s="20">
        <f>+IQR_results_usd!B224*FXs!$C$2</f>
        <v>0</v>
      </c>
      <c r="C224" s="20">
        <f>+IQR_results_usd!C224*FXs!$C$3</f>
        <v>0</v>
      </c>
      <c r="D224" s="20">
        <f>+IQR_results_usd!D224*FXs!$C$4</f>
        <v>0</v>
      </c>
      <c r="E224" s="20">
        <f>+IQR_results_usd!E224*FXs!$C$5</f>
        <v>0</v>
      </c>
      <c r="F224" s="20">
        <f>+IQR_results_usd!F224*FXs!$C$6</f>
        <v>0</v>
      </c>
      <c r="G224" s="20">
        <f>+IQR_results_usd!G224*FXs!$C$7</f>
        <v>0</v>
      </c>
      <c r="H224" s="20">
        <f>+IQR_results_usd!H224*FXs!$C$8</f>
        <v>0</v>
      </c>
      <c r="I224" s="20">
        <f>+IQR_results_usd!I224*FXs!$C$9</f>
        <v>0</v>
      </c>
      <c r="J224" s="20">
        <f>+IQR_results_usd!J224*FXs!$C$10</f>
        <v>0</v>
      </c>
      <c r="K224" s="20">
        <f>+IQR_results_usd!K224*FXs!$C$11</f>
        <v>0</v>
      </c>
    </row>
    <row r="225" spans="1:11">
      <c r="A225" s="6" t="s">
        <v>222</v>
      </c>
      <c r="B225" s="20">
        <f>+IQR_results_usd!B225*FXs!$C$2</f>
        <v>0</v>
      </c>
      <c r="C225" s="20">
        <f>+IQR_results_usd!C225*FXs!$C$3</f>
        <v>0</v>
      </c>
      <c r="D225" s="20">
        <f>+IQR_results_usd!D225*FXs!$C$4</f>
        <v>0</v>
      </c>
      <c r="E225" s="20">
        <f>+IQR_results_usd!E225*FXs!$C$5</f>
        <v>0</v>
      </c>
      <c r="F225" s="20">
        <f>+IQR_results_usd!F225*FXs!$C$6</f>
        <v>0</v>
      </c>
      <c r="G225" s="20">
        <f>+IQR_results_usd!G225*FXs!$C$7</f>
        <v>0</v>
      </c>
      <c r="H225" s="20">
        <f>+IQR_results_usd!H225*FXs!$C$8</f>
        <v>0</v>
      </c>
      <c r="I225" s="20">
        <f>+IQR_results_usd!I225*FXs!$C$9</f>
        <v>0</v>
      </c>
      <c r="J225" s="20">
        <f>+IQR_results_usd!J225*FXs!$C$10</f>
        <v>0</v>
      </c>
      <c r="K225" s="20">
        <f>+IQR_results_usd!K225*FXs!$C$11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A1A91-D713-0646-8F99-2DA927004EDD}">
  <dimension ref="A1:T225"/>
  <sheetViews>
    <sheetView workbookViewId="0">
      <selection activeCell="M3" sqref="M3"/>
    </sheetView>
  </sheetViews>
  <sheetFormatPr baseColWidth="10" defaultRowHeight="13"/>
  <cols>
    <col min="1" max="1" width="48.5" bestFit="1" customWidth="1"/>
    <col min="2" max="11" width="16.1640625" bestFit="1" customWidth="1"/>
    <col min="14" max="14" width="16.5" bestFit="1" customWidth="1"/>
  </cols>
  <sheetData>
    <row r="1" spans="1:20">
      <c r="B1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T1">
        <v>0</v>
      </c>
    </row>
    <row r="2" spans="1:20">
      <c r="A2" s="1" t="s">
        <v>0</v>
      </c>
      <c r="B2" s="2">
        <v>12</v>
      </c>
      <c r="C2" s="2">
        <v>12</v>
      </c>
      <c r="D2" s="2">
        <v>12</v>
      </c>
      <c r="E2" s="2">
        <v>12</v>
      </c>
      <c r="F2" s="2">
        <v>12</v>
      </c>
      <c r="G2" s="2">
        <v>12</v>
      </c>
      <c r="H2" s="2">
        <v>12</v>
      </c>
      <c r="I2" s="2">
        <v>12</v>
      </c>
      <c r="J2" s="2">
        <v>12</v>
      </c>
      <c r="K2" s="2">
        <v>12</v>
      </c>
    </row>
    <row r="3" spans="1:20">
      <c r="A3" s="3" t="s">
        <v>1</v>
      </c>
      <c r="B3" s="20">
        <f>+(final_results!B3-Raw_Financials!B3)/Raw_Financials!B3</f>
        <v>0</v>
      </c>
      <c r="C3" s="20">
        <f>+(final_results!C3-Raw_Financials!C3)/Raw_Financials!C3</f>
        <v>0</v>
      </c>
      <c r="D3" s="20">
        <f>+(final_results!D3-Raw_Financials!D3)/Raw_Financials!D3</f>
        <v>0</v>
      </c>
      <c r="E3" s="20">
        <f>+(final_results!E3-Raw_Financials!E3)/Raw_Financials!E3</f>
        <v>0</v>
      </c>
      <c r="F3" s="20">
        <f>+(final_results!F3-Raw_Financials!F3)/Raw_Financials!F3</f>
        <v>0</v>
      </c>
      <c r="G3" s="20">
        <f>+(final_results!G3-Raw_Financials!G3)/Raw_Financials!G3</f>
        <v>0</v>
      </c>
      <c r="H3" s="20">
        <f>+(final_results!H3-Raw_Financials!H3)/Raw_Financials!H3</f>
        <v>0</v>
      </c>
      <c r="I3" s="20">
        <f>+(final_results!I3-Raw_Financials!I3)/Raw_Financials!I3</f>
        <v>0</v>
      </c>
      <c r="J3" s="20">
        <f>+(final_results!J3-Raw_Financials!J3)/Raw_Financials!J3</f>
        <v>0</v>
      </c>
      <c r="K3" s="20">
        <f>+(final_results!K3-Raw_Financials!K3)/Raw_Financials!K3</f>
        <v>0</v>
      </c>
      <c r="M3" s="25">
        <f>223*10</f>
        <v>2230</v>
      </c>
      <c r="N3" s="25" t="s">
        <v>237</v>
      </c>
    </row>
    <row r="4" spans="1:20">
      <c r="A4" s="3" t="s">
        <v>2</v>
      </c>
      <c r="B4" s="20">
        <f>+(final_results!B4-Raw_Financials!B4)/Raw_Financials!B4</f>
        <v>0</v>
      </c>
      <c r="C4" s="20">
        <f>+(final_results!C4-Raw_Financials!C4)/Raw_Financials!C4</f>
        <v>0</v>
      </c>
      <c r="D4" s="20">
        <f>+(final_results!D4-Raw_Financials!D4)/Raw_Financials!D4</f>
        <v>0</v>
      </c>
      <c r="E4" s="20">
        <f>+(final_results!E4-Raw_Financials!E4)/Raw_Financials!E4</f>
        <v>0</v>
      </c>
      <c r="F4" s="20">
        <f>+(final_results!F4-Raw_Financials!F4)/Raw_Financials!F4</f>
        <v>0</v>
      </c>
      <c r="G4" s="20">
        <f>+(final_results!G4-Raw_Financials!G4)/Raw_Financials!G4</f>
        <v>0</v>
      </c>
      <c r="H4" s="20">
        <f>+(final_results!H4-Raw_Financials!H4)/Raw_Financials!H4</f>
        <v>0</v>
      </c>
      <c r="I4" s="20">
        <f>+(final_results!I4-Raw_Financials!I4)/Raw_Financials!I4</f>
        <v>0</v>
      </c>
      <c r="J4" s="20">
        <f>+(final_results!J4-Raw_Financials!J4)/Raw_Financials!J4</f>
        <v>0</v>
      </c>
      <c r="K4" s="20">
        <f>+(final_results!K4-Raw_Financials!K4)/Raw_Financials!K4</f>
        <v>0</v>
      </c>
      <c r="M4" s="26">
        <f>COUNTIF(B3:K225, "&gt;"&amp;T1) + COUNTIF(B3:K225, "&lt;"&amp;T1)</f>
        <v>159</v>
      </c>
      <c r="N4" s="25" t="s">
        <v>238</v>
      </c>
    </row>
    <row r="5" spans="1:20">
      <c r="A5" s="3" t="s">
        <v>3</v>
      </c>
      <c r="B5" s="20">
        <f>+(final_results!B5-Raw_Financials!B5)/Raw_Financials!B5</f>
        <v>0</v>
      </c>
      <c r="C5" s="20">
        <f>+(final_results!C5-Raw_Financials!C5)/Raw_Financials!C5</f>
        <v>0</v>
      </c>
      <c r="D5" s="20">
        <f>+(final_results!D5-Raw_Financials!D5)/Raw_Financials!D5</f>
        <v>0</v>
      </c>
      <c r="E5" s="20">
        <f>+(final_results!E5-Raw_Financials!E5)/Raw_Financials!E5</f>
        <v>0</v>
      </c>
      <c r="F5" s="20">
        <f>+(final_results!F5-Raw_Financials!F5)/Raw_Financials!F5</f>
        <v>0</v>
      </c>
      <c r="G5" s="20">
        <f>+(final_results!G5-Raw_Financials!G5)/Raw_Financials!G5</f>
        <v>0</v>
      </c>
      <c r="H5" s="20">
        <f>+(final_results!H5-Raw_Financials!H5)/Raw_Financials!H5</f>
        <v>0</v>
      </c>
      <c r="I5" s="20">
        <f>+(final_results!I5-Raw_Financials!I5)/Raw_Financials!I5</f>
        <v>0</v>
      </c>
      <c r="J5" s="20">
        <f>+(final_results!J5-Raw_Financials!J5)/Raw_Financials!J5</f>
        <v>0</v>
      </c>
      <c r="K5" s="20">
        <f>+(final_results!K5-Raw_Financials!K5)/Raw_Financials!K5</f>
        <v>0</v>
      </c>
      <c r="M5" s="27">
        <f>+M4/M3</f>
        <v>7.1300448430493268E-2</v>
      </c>
      <c r="N5" s="25" t="s">
        <v>239</v>
      </c>
    </row>
    <row r="6" spans="1:20">
      <c r="A6" s="3" t="s">
        <v>4</v>
      </c>
      <c r="B6" s="20">
        <f>+(final_results!B6-Raw_Financials!B6)/Raw_Financials!B6</f>
        <v>0</v>
      </c>
      <c r="C6" s="20">
        <f>+(final_results!C6-Raw_Financials!C6)/Raw_Financials!C6</f>
        <v>0</v>
      </c>
      <c r="D6" s="20">
        <f>+(final_results!D6-Raw_Financials!D6)/Raw_Financials!D6</f>
        <v>0</v>
      </c>
      <c r="E6" s="20">
        <f>+(final_results!E6-Raw_Financials!E6)/Raw_Financials!E6</f>
        <v>0</v>
      </c>
      <c r="F6" s="20">
        <f>+(final_results!F6-Raw_Financials!F6)/Raw_Financials!F6</f>
        <v>0</v>
      </c>
      <c r="G6" s="20">
        <f>+(final_results!G6-Raw_Financials!G6)/Raw_Financials!G6</f>
        <v>0</v>
      </c>
      <c r="H6" s="20">
        <f>+(final_results!H6-Raw_Financials!H6)/Raw_Financials!H6</f>
        <v>0</v>
      </c>
      <c r="I6" s="20">
        <f>+(final_results!I6-Raw_Financials!I6)/Raw_Financials!I6</f>
        <v>0</v>
      </c>
      <c r="J6" s="20">
        <f>+(final_results!J6-Raw_Financials!J6)/Raw_Financials!J6</f>
        <v>0</v>
      </c>
      <c r="K6" s="20">
        <f>+(final_results!K6-Raw_Financials!K6)/Raw_Financials!K6</f>
        <v>0</v>
      </c>
    </row>
    <row r="7" spans="1:20">
      <c r="A7" s="3" t="s">
        <v>5</v>
      </c>
      <c r="B7" s="20">
        <f>+(final_results!B7-Raw_Financials!B7)/Raw_Financials!B7</f>
        <v>0</v>
      </c>
      <c r="C7" s="20">
        <f>+(final_results!C7-Raw_Financials!C7)/Raw_Financials!C7</f>
        <v>0</v>
      </c>
      <c r="D7" s="20">
        <f>+(final_results!D7-Raw_Financials!D7)/Raw_Financials!D7</f>
        <v>0</v>
      </c>
      <c r="E7" s="20">
        <f>+(final_results!E7-Raw_Financials!E7)/Raw_Financials!E7</f>
        <v>0</v>
      </c>
      <c r="F7" s="20">
        <f>+(final_results!F7-Raw_Financials!F7)/Raw_Financials!F7</f>
        <v>0</v>
      </c>
      <c r="G7" s="20">
        <f>+(final_results!G7-Raw_Financials!G7)/Raw_Financials!G7</f>
        <v>0</v>
      </c>
      <c r="H7" s="20">
        <f>+(final_results!H7-Raw_Financials!H7)/Raw_Financials!H7</f>
        <v>0</v>
      </c>
      <c r="I7" s="20">
        <f>+(final_results!I7-Raw_Financials!I7)/Raw_Financials!I7</f>
        <v>-2.623598602910204E-2</v>
      </c>
      <c r="J7" s="20">
        <f>+(final_results!J7-Raw_Financials!J7)/Raw_Financials!J7</f>
        <v>0</v>
      </c>
      <c r="K7" s="20">
        <f>+(final_results!K7-Raw_Financials!K7)/Raw_Financials!K7</f>
        <v>0</v>
      </c>
      <c r="M7" s="23"/>
    </row>
    <row r="8" spans="1:20">
      <c r="A8" s="3" t="s">
        <v>6</v>
      </c>
      <c r="B8" s="20">
        <f>+(final_results!B8-Raw_Financials!B8)/Raw_Financials!B8</f>
        <v>-0.62937421872713428</v>
      </c>
      <c r="C8" s="20">
        <f>+(final_results!C8-Raw_Financials!C8)/Raw_Financials!C8</f>
        <v>0</v>
      </c>
      <c r="D8" s="20">
        <f>+(final_results!D8-Raw_Financials!D8)/Raw_Financials!D8</f>
        <v>0</v>
      </c>
      <c r="E8" s="20">
        <f>+(final_results!E8-Raw_Financials!E8)/Raw_Financials!E8</f>
        <v>0</v>
      </c>
      <c r="F8" s="20">
        <f>+(final_results!F8-Raw_Financials!F8)/Raw_Financials!F8</f>
        <v>1.1944943690628627E-16</v>
      </c>
      <c r="G8" s="20">
        <f>+(final_results!G8-Raw_Financials!G8)/Raw_Financials!G8</f>
        <v>0</v>
      </c>
      <c r="H8" s="20">
        <f>+(final_results!H8-Raw_Financials!H8)/Raw_Financials!H8</f>
        <v>0</v>
      </c>
      <c r="I8" s="20">
        <f>+(final_results!I8-Raw_Financials!I8)/Raw_Financials!I8</f>
        <v>0</v>
      </c>
      <c r="J8" s="20">
        <f>+(final_results!J8-Raw_Financials!J8)/Raw_Financials!J8</f>
        <v>1.111729090483795E-16</v>
      </c>
      <c r="K8" s="20">
        <f>+(final_results!K8-Raw_Financials!K8)/Raw_Financials!K8</f>
        <v>0</v>
      </c>
    </row>
    <row r="9" spans="1:20">
      <c r="A9" s="5" t="s">
        <v>7</v>
      </c>
      <c r="B9" s="20">
        <f>+(final_results!B9-Raw_Financials!B9)/Raw_Financials!B9</f>
        <v>0</v>
      </c>
      <c r="C9" s="20">
        <f>+(final_results!C9-Raw_Financials!C9)/Raw_Financials!C9</f>
        <v>0</v>
      </c>
      <c r="D9" s="20">
        <f>+(final_results!D9-Raw_Financials!D9)/Raw_Financials!D9</f>
        <v>0</v>
      </c>
      <c r="E9" s="20">
        <f>+(final_results!E9-Raw_Financials!E9)/Raw_Financials!E9</f>
        <v>0</v>
      </c>
      <c r="F9" s="20">
        <f>+(final_results!F9-Raw_Financials!F9)/Raw_Financials!F9</f>
        <v>0</v>
      </c>
      <c r="G9" s="20">
        <f>+(final_results!G9-Raw_Financials!G9)/Raw_Financials!G9</f>
        <v>0</v>
      </c>
      <c r="H9" s="20">
        <f>+(final_results!H9-Raw_Financials!H9)/Raw_Financials!H9</f>
        <v>-1.2837304553088199E-16</v>
      </c>
      <c r="I9" s="20">
        <f>+(final_results!I9-Raw_Financials!I9)/Raw_Financials!I9</f>
        <v>1.5274262314834756E-16</v>
      </c>
      <c r="J9" s="20">
        <f>+(final_results!J9-Raw_Financials!J9)/Raw_Financials!J9</f>
        <v>0</v>
      </c>
      <c r="K9" s="20">
        <f>+(final_results!K9-Raw_Financials!K9)/Raw_Financials!K9</f>
        <v>0</v>
      </c>
    </row>
    <row r="10" spans="1:20">
      <c r="A10" s="5" t="s">
        <v>8</v>
      </c>
      <c r="B10" s="20">
        <f>+(final_results!B10-Raw_Financials!B10)/Raw_Financials!B10</f>
        <v>0</v>
      </c>
      <c r="C10" s="20">
        <f>+(final_results!C10-Raw_Financials!C10)/Raw_Financials!C10</f>
        <v>0</v>
      </c>
      <c r="D10" s="20">
        <f>+(final_results!D10-Raw_Financials!D10)/Raw_Financials!D10</f>
        <v>0</v>
      </c>
      <c r="E10" s="20">
        <f>+(final_results!E10-Raw_Financials!E10)/Raw_Financials!E10</f>
        <v>-1.2301335117902538E-16</v>
      </c>
      <c r="F10" s="20">
        <f>+(final_results!F10-Raw_Financials!F10)/Raw_Financials!F10</f>
        <v>0</v>
      </c>
      <c r="G10" s="20">
        <f>+(final_results!G10-Raw_Financials!G10)/Raw_Financials!G10</f>
        <v>0</v>
      </c>
      <c r="H10" s="20">
        <f>+(final_results!H10-Raw_Financials!H10)/Raw_Financials!H10</f>
        <v>1.2837304531854344E-16</v>
      </c>
      <c r="I10" s="20">
        <f>+(final_results!I10-Raw_Financials!I10)/Raw_Financials!I10</f>
        <v>0</v>
      </c>
      <c r="J10" s="20">
        <f>+(final_results!J10-Raw_Financials!J10)/Raw_Financials!J10</f>
        <v>0</v>
      </c>
      <c r="K10" s="20">
        <f>+(final_results!K10-Raw_Financials!K10)/Raw_Financials!K10</f>
        <v>0</v>
      </c>
    </row>
    <row r="11" spans="1:20">
      <c r="A11" s="5" t="s">
        <v>9</v>
      </c>
      <c r="B11" s="20">
        <f>+(final_results!B11-Raw_Financials!B11)/Raw_Financials!B11</f>
        <v>0</v>
      </c>
      <c r="C11" s="20">
        <f>+(final_results!C11-Raw_Financials!C11)/Raw_Financials!C11</f>
        <v>0</v>
      </c>
      <c r="D11" s="20">
        <f>+(final_results!D11-Raw_Financials!D11)/Raw_Financials!D11</f>
        <v>0</v>
      </c>
      <c r="E11" s="20">
        <f>+(final_results!E11-Raw_Financials!E11)/Raw_Financials!E11</f>
        <v>0</v>
      </c>
      <c r="F11" s="20">
        <f>+(final_results!F11-Raw_Financials!F11)/Raw_Financials!F11</f>
        <v>-1.4012052291996243E-16</v>
      </c>
      <c r="G11" s="20">
        <f>+(final_results!G11-Raw_Financials!G11)/Raw_Financials!G11</f>
        <v>0</v>
      </c>
      <c r="H11" s="20">
        <f>+(final_results!H11-Raw_Financials!H11)/Raw_Financials!H11</f>
        <v>0</v>
      </c>
      <c r="I11" s="20">
        <f>+(final_results!I11-Raw_Financials!I11)/Raw_Financials!I11</f>
        <v>1.209856143871594E-16</v>
      </c>
      <c r="J11" s="20">
        <f>+(final_results!J11-Raw_Financials!J11)/Raw_Financials!J11</f>
        <v>0</v>
      </c>
      <c r="K11" s="20">
        <f>+(final_results!K11-Raw_Financials!K11)/Raw_Financials!K11</f>
        <v>0</v>
      </c>
    </row>
    <row r="12" spans="1:20">
      <c r="A12" s="6" t="s">
        <v>10</v>
      </c>
      <c r="B12" s="20">
        <f>+(final_results!B12-Raw_Financials!B12)/Raw_Financials!B12</f>
        <v>0</v>
      </c>
      <c r="C12" s="20">
        <f>+(final_results!C12-Raw_Financials!C12)/Raw_Financials!C12</f>
        <v>0</v>
      </c>
      <c r="D12" s="20">
        <f>+(final_results!D12-Raw_Financials!D12)/Raw_Financials!D12</f>
        <v>0</v>
      </c>
      <c r="E12" s="20">
        <f>+(final_results!E12-Raw_Financials!E12)/Raw_Financials!E12</f>
        <v>0</v>
      </c>
      <c r="F12" s="20">
        <f>+(final_results!F12-Raw_Financials!F12)/Raw_Financials!F12</f>
        <v>0</v>
      </c>
      <c r="G12" s="20">
        <f>+(final_results!G12-Raw_Financials!G12)/Raw_Financials!G12</f>
        <v>-1.1203188014110214E-16</v>
      </c>
      <c r="H12" s="20">
        <f>+(final_results!H12-Raw_Financials!H12)/Raw_Financials!H12</f>
        <v>0</v>
      </c>
      <c r="I12" s="20">
        <f>+(final_results!I12-Raw_Financials!I12)/Raw_Financials!I12</f>
        <v>0</v>
      </c>
      <c r="J12" s="20">
        <f>+(final_results!J12-Raw_Financials!J12)/Raw_Financials!J12</f>
        <v>0</v>
      </c>
      <c r="K12" s="20">
        <f>+(final_results!K12-Raw_Financials!K12)/Raw_Financials!K12</f>
        <v>0</v>
      </c>
    </row>
    <row r="13" spans="1:20">
      <c r="A13" s="5" t="s">
        <v>11</v>
      </c>
      <c r="B13" s="20">
        <f>+(final_results!B13-Raw_Financials!B13)/Raw_Financials!B13</f>
        <v>0</v>
      </c>
      <c r="C13" s="20">
        <f>+(final_results!C13-Raw_Financials!C13)/Raw_Financials!C13</f>
        <v>0</v>
      </c>
      <c r="D13" s="20">
        <f>+(final_results!D13-Raw_Financials!D13)/Raw_Financials!D13</f>
        <v>0</v>
      </c>
      <c r="E13" s="20">
        <f>+(final_results!E13-Raw_Financials!E13)/Raw_Financials!E13</f>
        <v>0</v>
      </c>
      <c r="F13" s="20">
        <f>+(final_results!F13-Raw_Financials!F13)/Raw_Financials!F13</f>
        <v>0</v>
      </c>
      <c r="G13" s="20">
        <f>+(final_results!G13-Raw_Financials!G13)/Raw_Financials!G13</f>
        <v>0</v>
      </c>
      <c r="H13" s="20">
        <f>+(final_results!H13-Raw_Financials!H13)/Raw_Financials!H13</f>
        <v>-1.2950872430713187E-16</v>
      </c>
      <c r="I13" s="20">
        <f>+(final_results!I13-Raw_Financials!I13)/Raw_Financials!I13</f>
        <v>0</v>
      </c>
      <c r="J13" s="20">
        <f>+(final_results!J13-Raw_Financials!J13)/Raw_Financials!J13</f>
        <v>0</v>
      </c>
      <c r="K13" s="20">
        <f>+(final_results!K13-Raw_Financials!K13)/Raw_Financials!K13</f>
        <v>0</v>
      </c>
    </row>
    <row r="14" spans="1:20">
      <c r="A14" s="6" t="s">
        <v>12</v>
      </c>
      <c r="B14" s="20">
        <f>+(final_results!B14-Raw_Financials!B14)/Raw_Financials!B14</f>
        <v>0</v>
      </c>
      <c r="C14" s="20">
        <f>+(final_results!C14-Raw_Financials!C14)/Raw_Financials!C14</f>
        <v>0</v>
      </c>
      <c r="D14" s="20">
        <f>+(final_results!D14-Raw_Financials!D14)/Raw_Financials!D14</f>
        <v>0</v>
      </c>
      <c r="E14" s="20">
        <f>+(final_results!E14-Raw_Financials!E14)/Raw_Financials!E14</f>
        <v>0</v>
      </c>
      <c r="F14" s="20">
        <f>+(final_results!F14-Raw_Financials!F14)/Raw_Financials!F14</f>
        <v>0</v>
      </c>
      <c r="G14" s="20">
        <f>+(final_results!G14-Raw_Financials!G14)/Raw_Financials!G14</f>
        <v>0</v>
      </c>
      <c r="H14" s="20">
        <f>+(final_results!H14-Raw_Financials!H14)/Raw_Financials!H14</f>
        <v>0</v>
      </c>
      <c r="I14" s="20">
        <f>+(final_results!I14-Raw_Financials!I14)/Raw_Financials!I14</f>
        <v>0</v>
      </c>
      <c r="J14" s="20">
        <f>+(final_results!J14-Raw_Financials!J14)/Raw_Financials!J14</f>
        <v>0</v>
      </c>
      <c r="K14" s="20">
        <f>+(final_results!K14-Raw_Financials!K14)/Raw_Financials!K14</f>
        <v>0</v>
      </c>
    </row>
    <row r="15" spans="1:20">
      <c r="A15" s="5" t="s">
        <v>13</v>
      </c>
      <c r="B15" s="20">
        <f>+(final_results!B15-Raw_Financials!B15)/Raw_Financials!B15</f>
        <v>-1.2144878316212355E-16</v>
      </c>
      <c r="C15" s="20">
        <f>+(final_results!C15-Raw_Financials!C15)/Raw_Financials!C15</f>
        <v>0</v>
      </c>
      <c r="D15" s="20">
        <f>+(final_results!D15-Raw_Financials!D15)/Raw_Financials!D15</f>
        <v>0</v>
      </c>
      <c r="E15" s="20">
        <f>+(final_results!E15-Raw_Financials!E15)/Raw_Financials!E15</f>
        <v>0</v>
      </c>
      <c r="F15" s="20">
        <f>+(final_results!F15-Raw_Financials!F15)/Raw_Financials!F15</f>
        <v>0</v>
      </c>
      <c r="G15" s="20">
        <f>+(final_results!G15-Raw_Financials!G15)/Raw_Financials!G15</f>
        <v>-1.1208663808702774E-16</v>
      </c>
      <c r="H15" s="20">
        <f>+(final_results!H15-Raw_Financials!H15)/Raw_Financials!H15</f>
        <v>0</v>
      </c>
      <c r="I15" s="20">
        <f>+(final_results!I15-Raw_Financials!I15)/Raw_Financials!I15</f>
        <v>0</v>
      </c>
      <c r="J15" s="20">
        <f>+(final_results!J15-Raw_Financials!J15)/Raw_Financials!J15</f>
        <v>0</v>
      </c>
      <c r="K15" s="20">
        <f>+(final_results!K15-Raw_Financials!K15)/Raw_Financials!K15</f>
        <v>0</v>
      </c>
    </row>
    <row r="16" spans="1:20">
      <c r="A16" s="6" t="s">
        <v>14</v>
      </c>
      <c r="B16" s="20">
        <f>+(final_results!B16-Raw_Financials!B16)/Raw_Financials!B16</f>
        <v>0</v>
      </c>
      <c r="C16" s="20">
        <f>+(final_results!C16-Raw_Financials!C16)/Raw_Financials!C16</f>
        <v>0</v>
      </c>
      <c r="D16" s="20">
        <f>+(final_results!D16-Raw_Financials!D16)/Raw_Financials!D16</f>
        <v>0</v>
      </c>
      <c r="E16" s="20">
        <f>+(final_results!E16-Raw_Financials!E16)/Raw_Financials!E16</f>
        <v>0</v>
      </c>
      <c r="F16" s="20">
        <f>+(final_results!F16-Raw_Financials!F16)/Raw_Financials!F16</f>
        <v>0</v>
      </c>
      <c r="G16" s="20">
        <f>+(final_results!G16-Raw_Financials!G16)/Raw_Financials!G16</f>
        <v>0</v>
      </c>
      <c r="H16" s="20">
        <f>+(final_results!H16-Raw_Financials!H16)/Raw_Financials!H16</f>
        <v>7.7926942484544071E-2</v>
      </c>
      <c r="I16" s="20">
        <f>+(final_results!I16-Raw_Financials!I16)/Raw_Financials!I16</f>
        <v>-0.23155552622460765</v>
      </c>
      <c r="J16" s="20">
        <f>+(final_results!J16-Raw_Financials!J16)/Raw_Financials!J16</f>
        <v>-0.13966222438600789</v>
      </c>
      <c r="K16" s="20">
        <f>+(final_results!K16-Raw_Financials!K16)/Raw_Financials!K16</f>
        <v>0</v>
      </c>
    </row>
    <row r="17" spans="1:11">
      <c r="A17" s="5" t="s">
        <v>15</v>
      </c>
      <c r="B17" s="20" t="e">
        <f>+(final_results!B17-Raw_Financials!B17)/Raw_Financials!B17</f>
        <v>#DIV/0!</v>
      </c>
      <c r="C17" s="20" t="e">
        <f>+(final_results!C17-Raw_Financials!C17)/Raw_Financials!C17</f>
        <v>#DIV/0!</v>
      </c>
      <c r="D17" s="20" t="e">
        <f>+(final_results!D17-Raw_Financials!D17)/Raw_Financials!D17</f>
        <v>#DIV/0!</v>
      </c>
      <c r="E17" s="20" t="e">
        <f>+(final_results!E17-Raw_Financials!E17)/Raw_Financials!E17</f>
        <v>#DIV/0!</v>
      </c>
      <c r="F17" s="20" t="e">
        <f>+(final_results!F17-Raw_Financials!F17)/Raw_Financials!F17</f>
        <v>#DIV/0!</v>
      </c>
      <c r="G17" s="20" t="e">
        <f>+(final_results!G17-Raw_Financials!G17)/Raw_Financials!G17</f>
        <v>#DIV/0!</v>
      </c>
      <c r="H17" s="20" t="e">
        <f>+(final_results!H17-Raw_Financials!H17)/Raw_Financials!H17</f>
        <v>#DIV/0!</v>
      </c>
      <c r="I17" s="20">
        <f>+(final_results!I17-Raw_Financials!I17)/Raw_Financials!I17</f>
        <v>0</v>
      </c>
      <c r="J17" s="20">
        <f>+(final_results!J17-Raw_Financials!J17)/Raw_Financials!J17</f>
        <v>0</v>
      </c>
      <c r="K17" s="20">
        <f>+(final_results!K17-Raw_Financials!K17)/Raw_Financials!K17</f>
        <v>-0.47336392635710312</v>
      </c>
    </row>
    <row r="18" spans="1:11">
      <c r="A18" s="6" t="s">
        <v>16</v>
      </c>
      <c r="B18" s="20">
        <f>+(final_results!B18-Raw_Financials!B18)/Raw_Financials!B18</f>
        <v>0</v>
      </c>
      <c r="C18" s="20">
        <f>+(final_results!C18-Raw_Financials!C18)/Raw_Financials!C18</f>
        <v>0</v>
      </c>
      <c r="D18" s="20">
        <f>+(final_results!D18-Raw_Financials!D18)/Raw_Financials!D18</f>
        <v>0</v>
      </c>
      <c r="E18" s="20">
        <f>+(final_results!E18-Raw_Financials!E18)/Raw_Financials!E18</f>
        <v>0</v>
      </c>
      <c r="F18" s="20">
        <f>+(final_results!F18-Raw_Financials!F18)/Raw_Financials!F18</f>
        <v>0</v>
      </c>
      <c r="G18" s="20">
        <f>+(final_results!G18-Raw_Financials!G18)/Raw_Financials!G18</f>
        <v>0</v>
      </c>
      <c r="H18" s="20">
        <f>+(final_results!H18-Raw_Financials!H18)/Raw_Financials!H18</f>
        <v>0</v>
      </c>
      <c r="I18" s="20">
        <f>+(final_results!I18-Raw_Financials!I18)/Raw_Financials!I18</f>
        <v>0</v>
      </c>
      <c r="J18" s="20">
        <f>+(final_results!J18-Raw_Financials!J18)/Raw_Financials!J18</f>
        <v>0</v>
      </c>
      <c r="K18" s="20">
        <f>+(final_results!K18-Raw_Financials!K18)/Raw_Financials!K18</f>
        <v>0</v>
      </c>
    </row>
    <row r="19" spans="1:11">
      <c r="A19" s="5" t="s">
        <v>17</v>
      </c>
      <c r="B19" s="20" t="e">
        <f>+(final_results!B19-Raw_Financials!B19)/Raw_Financials!B19</f>
        <v>#DIV/0!</v>
      </c>
      <c r="C19" s="20" t="e">
        <f>+(final_results!C19-Raw_Financials!C19)/Raw_Financials!C19</f>
        <v>#DIV/0!</v>
      </c>
      <c r="D19" s="20" t="e">
        <f>+(final_results!D19-Raw_Financials!D19)/Raw_Financials!D19</f>
        <v>#DIV/0!</v>
      </c>
      <c r="E19" s="20" t="e">
        <f>+(final_results!E19-Raw_Financials!E19)/Raw_Financials!E19</f>
        <v>#DIV/0!</v>
      </c>
      <c r="F19" s="20" t="e">
        <f>+(final_results!F19-Raw_Financials!F19)/Raw_Financials!F19</f>
        <v>#DIV/0!</v>
      </c>
      <c r="G19" s="20" t="e">
        <f>+(final_results!G19-Raw_Financials!G19)/Raw_Financials!G19</f>
        <v>#DIV/0!</v>
      </c>
      <c r="H19" s="20" t="e">
        <f>+(final_results!H19-Raw_Financials!H19)/Raw_Financials!H19</f>
        <v>#DIV/0!</v>
      </c>
      <c r="I19" s="20" t="e">
        <f>+(final_results!I19-Raw_Financials!I19)/Raw_Financials!I19</f>
        <v>#DIV/0!</v>
      </c>
      <c r="J19" s="20" t="e">
        <f>+(final_results!J19-Raw_Financials!J19)/Raw_Financials!J19</f>
        <v>#DIV/0!</v>
      </c>
      <c r="K19" s="20" t="e">
        <f>+(final_results!K19-Raw_Financials!K19)/Raw_Financials!K19</f>
        <v>#DIV/0!</v>
      </c>
    </row>
    <row r="20" spans="1:11">
      <c r="A20" s="7" t="s">
        <v>18</v>
      </c>
      <c r="B20" s="20">
        <f>+(final_results!B20-Raw_Financials!B20)/Raw_Financials!B20</f>
        <v>0</v>
      </c>
      <c r="C20" s="20">
        <f>+(final_results!C20-Raw_Financials!C20)/Raw_Financials!C20</f>
        <v>0</v>
      </c>
      <c r="D20" s="20">
        <f>+(final_results!D20-Raw_Financials!D20)/Raw_Financials!D20</f>
        <v>0</v>
      </c>
      <c r="E20" s="20">
        <f>+(final_results!E20-Raw_Financials!E20)/Raw_Financials!E20</f>
        <v>1.1436031730075993E-16</v>
      </c>
      <c r="F20" s="20">
        <f>+(final_results!F20-Raw_Financials!F20)/Raw_Financials!F20</f>
        <v>0</v>
      </c>
      <c r="G20" s="20">
        <f>+(final_results!G20-Raw_Financials!G20)/Raw_Financials!G20</f>
        <v>0</v>
      </c>
      <c r="H20" s="20">
        <f>+(final_results!H20-Raw_Financials!H20)/Raw_Financials!H20</f>
        <v>0</v>
      </c>
      <c r="I20" s="20">
        <f>+(final_results!I20-Raw_Financials!I20)/Raw_Financials!I20</f>
        <v>0</v>
      </c>
      <c r="J20" s="20">
        <f>+(final_results!J20-Raw_Financials!J20)/Raw_Financials!J20</f>
        <v>0</v>
      </c>
      <c r="K20" s="20">
        <f>+(final_results!K20-Raw_Financials!K20)/Raw_Financials!K20</f>
        <v>0</v>
      </c>
    </row>
    <row r="21" spans="1:11">
      <c r="A21" s="5" t="s">
        <v>19</v>
      </c>
      <c r="B21" s="20">
        <f>+(final_results!B21-Raw_Financials!B21)/Raw_Financials!B21</f>
        <v>0</v>
      </c>
      <c r="C21" s="20">
        <f>+(final_results!C21-Raw_Financials!C21)/Raw_Financials!C21</f>
        <v>0</v>
      </c>
      <c r="D21" s="20">
        <f>+(final_results!D21-Raw_Financials!D21)/Raw_Financials!D21</f>
        <v>0</v>
      </c>
      <c r="E21" s="20">
        <f>+(final_results!E21-Raw_Financials!E21)/Raw_Financials!E21</f>
        <v>0</v>
      </c>
      <c r="F21" s="20">
        <f>+(final_results!F21-Raw_Financials!F21)/Raw_Financials!F21</f>
        <v>1.1425592999537059E-16</v>
      </c>
      <c r="G21" s="20">
        <f>+(final_results!G21-Raw_Financials!G21)/Raw_Financials!G21</f>
        <v>0</v>
      </c>
      <c r="H21" s="20">
        <f>+(final_results!H21-Raw_Financials!H21)/Raw_Financials!H21</f>
        <v>0</v>
      </c>
      <c r="I21" s="20">
        <f>+(final_results!I21-Raw_Financials!I21)/Raw_Financials!I21</f>
        <v>0</v>
      </c>
      <c r="J21" s="20">
        <f>+(final_results!J21-Raw_Financials!J21)/Raw_Financials!J21</f>
        <v>0</v>
      </c>
      <c r="K21" s="20">
        <f>+(final_results!K21-Raw_Financials!K21)/Raw_Financials!K21</f>
        <v>0</v>
      </c>
    </row>
    <row r="22" spans="1:11">
      <c r="A22" s="7" t="s">
        <v>20</v>
      </c>
      <c r="B22" s="20">
        <f>+(final_results!B22-Raw_Financials!B22)/Raw_Financials!B22</f>
        <v>0</v>
      </c>
      <c r="C22" s="20">
        <f>+(final_results!C22-Raw_Financials!C22)/Raw_Financials!C22</f>
        <v>0</v>
      </c>
      <c r="D22" s="20">
        <f>+(final_results!D22-Raw_Financials!D22)/Raw_Financials!D22</f>
        <v>0</v>
      </c>
      <c r="E22" s="20">
        <f>+(final_results!E22-Raw_Financials!E22)/Raw_Financials!E22</f>
        <v>1.4328669824047155E-16</v>
      </c>
      <c r="F22" s="20">
        <f>+(final_results!F22-Raw_Financials!F22)/Raw_Financials!F22</f>
        <v>0</v>
      </c>
      <c r="G22" s="20">
        <f>+(final_results!G22-Raw_Financials!G22)/Raw_Financials!G22</f>
        <v>-1.1272380932209309E-16</v>
      </c>
      <c r="H22" s="20">
        <f>+(final_results!H22-Raw_Financials!H22)/Raw_Financials!H22</f>
        <v>0</v>
      </c>
      <c r="I22" s="20">
        <f>+(final_results!I22-Raw_Financials!I22)/Raw_Financials!I22</f>
        <v>0</v>
      </c>
      <c r="J22" s="20">
        <f>+(final_results!J22-Raw_Financials!J22)/Raw_Financials!J22</f>
        <v>-1.1727232025241284E-16</v>
      </c>
      <c r="K22" s="20">
        <f>+(final_results!K22-Raw_Financials!K22)/Raw_Financials!K22</f>
        <v>0</v>
      </c>
    </row>
    <row r="23" spans="1:11">
      <c r="A23" s="5" t="s">
        <v>21</v>
      </c>
      <c r="B23" s="20">
        <f>+(final_results!B23-Raw_Financials!B23)/Raw_Financials!B23</f>
        <v>0</v>
      </c>
      <c r="C23" s="20">
        <f>+(final_results!C23-Raw_Financials!C23)/Raw_Financials!C23</f>
        <v>0</v>
      </c>
      <c r="D23" s="20">
        <f>+(final_results!D23-Raw_Financials!D23)/Raw_Financials!D23</f>
        <v>0</v>
      </c>
      <c r="E23" s="20">
        <f>+(final_results!E23-Raw_Financials!E23)/Raw_Financials!E23</f>
        <v>0</v>
      </c>
      <c r="F23" s="20">
        <f>+(final_results!F23-Raw_Financials!F23)/Raw_Financials!F23</f>
        <v>0</v>
      </c>
      <c r="G23" s="20">
        <f>+(final_results!G23-Raw_Financials!G23)/Raw_Financials!G23</f>
        <v>0</v>
      </c>
      <c r="H23" s="20">
        <f>+(final_results!H23-Raw_Financials!H23)/Raw_Financials!H23</f>
        <v>0</v>
      </c>
      <c r="I23" s="20">
        <f>+(final_results!I23-Raw_Financials!I23)/Raw_Financials!I23</f>
        <v>0</v>
      </c>
      <c r="J23" s="20">
        <f>+(final_results!J23-Raw_Financials!J23)/Raw_Financials!J23</f>
        <v>0</v>
      </c>
      <c r="K23" s="20">
        <f>+(final_results!K23-Raw_Financials!K23)/Raw_Financials!K23</f>
        <v>1.8122157036886091E-16</v>
      </c>
    </row>
    <row r="24" spans="1:11">
      <c r="A24" s="6" t="s">
        <v>22</v>
      </c>
      <c r="B24" s="20" t="e">
        <f>+(final_results!B24-Raw_Financials!B24)/Raw_Financials!B24</f>
        <v>#DIV/0!</v>
      </c>
      <c r="C24" s="20" t="e">
        <f>+(final_results!C24-Raw_Financials!C24)/Raw_Financials!C24</f>
        <v>#DIV/0!</v>
      </c>
      <c r="D24" s="20" t="e">
        <f>+(final_results!D24-Raw_Financials!D24)/Raw_Financials!D24</f>
        <v>#DIV/0!</v>
      </c>
      <c r="E24" s="20" t="e">
        <f>+(final_results!E24-Raw_Financials!E24)/Raw_Financials!E24</f>
        <v>#DIV/0!</v>
      </c>
      <c r="F24" s="20" t="e">
        <f>+(final_results!F24-Raw_Financials!F24)/Raw_Financials!F24</f>
        <v>#DIV/0!</v>
      </c>
      <c r="G24" s="20" t="e">
        <f>+(final_results!G24-Raw_Financials!G24)/Raw_Financials!G24</f>
        <v>#DIV/0!</v>
      </c>
      <c r="H24" s="20" t="e">
        <f>+(final_results!H24-Raw_Financials!H24)/Raw_Financials!H24</f>
        <v>#DIV/0!</v>
      </c>
      <c r="I24" s="20" t="e">
        <f>+(final_results!I24-Raw_Financials!I24)/Raw_Financials!I24</f>
        <v>#DIV/0!</v>
      </c>
      <c r="J24" s="20" t="e">
        <f>+(final_results!J24-Raw_Financials!J24)/Raw_Financials!J24</f>
        <v>#DIV/0!</v>
      </c>
      <c r="K24" s="20" t="e">
        <f>+(final_results!K24-Raw_Financials!K24)/Raw_Financials!K24</f>
        <v>#DIV/0!</v>
      </c>
    </row>
    <row r="25" spans="1:11">
      <c r="A25" s="5" t="s">
        <v>23</v>
      </c>
      <c r="B25" s="20" t="e">
        <f>+(final_results!B25-Raw_Financials!B25)/Raw_Financials!B25</f>
        <v>#DIV/0!</v>
      </c>
      <c r="C25" s="20" t="e">
        <f>+(final_results!C25-Raw_Financials!C25)/Raw_Financials!C25</f>
        <v>#DIV/0!</v>
      </c>
      <c r="D25" s="20" t="e">
        <f>+(final_results!D25-Raw_Financials!D25)/Raw_Financials!D25</f>
        <v>#DIV/0!</v>
      </c>
      <c r="E25" s="20" t="e">
        <f>+(final_results!E25-Raw_Financials!E25)/Raw_Financials!E25</f>
        <v>#DIV/0!</v>
      </c>
      <c r="F25" s="20" t="e">
        <f>+(final_results!F25-Raw_Financials!F25)/Raw_Financials!F25</f>
        <v>#DIV/0!</v>
      </c>
      <c r="G25" s="20" t="e">
        <f>+(final_results!G25-Raw_Financials!G25)/Raw_Financials!G25</f>
        <v>#DIV/0!</v>
      </c>
      <c r="H25" s="20" t="e">
        <f>+(final_results!H25-Raw_Financials!H25)/Raw_Financials!H25</f>
        <v>#DIV/0!</v>
      </c>
      <c r="I25" s="20" t="e">
        <f>+(final_results!I25-Raw_Financials!I25)/Raw_Financials!I25</f>
        <v>#DIV/0!</v>
      </c>
      <c r="J25" s="20" t="e">
        <f>+(final_results!J25-Raw_Financials!J25)/Raw_Financials!J25</f>
        <v>#DIV/0!</v>
      </c>
      <c r="K25" s="20" t="e">
        <f>+(final_results!K25-Raw_Financials!K25)/Raw_Financials!K25</f>
        <v>#DIV/0!</v>
      </c>
    </row>
    <row r="26" spans="1:11">
      <c r="A26" s="6" t="s">
        <v>24</v>
      </c>
      <c r="B26" s="20" t="e">
        <f>+(final_results!B26-Raw_Financials!B26)/Raw_Financials!B26</f>
        <v>#DIV/0!</v>
      </c>
      <c r="C26" s="20" t="e">
        <f>+(final_results!C26-Raw_Financials!C26)/Raw_Financials!C26</f>
        <v>#DIV/0!</v>
      </c>
      <c r="D26" s="20" t="e">
        <f>+(final_results!D26-Raw_Financials!D26)/Raw_Financials!D26</f>
        <v>#DIV/0!</v>
      </c>
      <c r="E26" s="20" t="e">
        <f>+(final_results!E26-Raw_Financials!E26)/Raw_Financials!E26</f>
        <v>#DIV/0!</v>
      </c>
      <c r="F26" s="20" t="e">
        <f>+(final_results!F26-Raw_Financials!F26)/Raw_Financials!F26</f>
        <v>#DIV/0!</v>
      </c>
      <c r="G26" s="20" t="e">
        <f>+(final_results!G26-Raw_Financials!G26)/Raw_Financials!G26</f>
        <v>#DIV/0!</v>
      </c>
      <c r="H26" s="20" t="e">
        <f>+(final_results!H26-Raw_Financials!H26)/Raw_Financials!H26</f>
        <v>#DIV/0!</v>
      </c>
      <c r="I26" s="20" t="e">
        <f>+(final_results!I26-Raw_Financials!I26)/Raw_Financials!I26</f>
        <v>#DIV/0!</v>
      </c>
      <c r="J26" s="20" t="e">
        <f>+(final_results!J26-Raw_Financials!J26)/Raw_Financials!J26</f>
        <v>#DIV/0!</v>
      </c>
      <c r="K26" s="20" t="e">
        <f>+(final_results!K26-Raw_Financials!K26)/Raw_Financials!K26</f>
        <v>#DIV/0!</v>
      </c>
    </row>
    <row r="27" spans="1:11">
      <c r="A27" s="5" t="s">
        <v>25</v>
      </c>
      <c r="B27" s="20" t="e">
        <f>+(final_results!B27-Raw_Financials!B27)/Raw_Financials!B27</f>
        <v>#DIV/0!</v>
      </c>
      <c r="C27" s="20" t="e">
        <f>+(final_results!C27-Raw_Financials!C27)/Raw_Financials!C27</f>
        <v>#DIV/0!</v>
      </c>
      <c r="D27" s="20" t="e">
        <f>+(final_results!D27-Raw_Financials!D27)/Raw_Financials!D27</f>
        <v>#DIV/0!</v>
      </c>
      <c r="E27" s="20" t="e">
        <f>+(final_results!E27-Raw_Financials!E27)/Raw_Financials!E27</f>
        <v>#DIV/0!</v>
      </c>
      <c r="F27" s="20" t="e">
        <f>+(final_results!F27-Raw_Financials!F27)/Raw_Financials!F27</f>
        <v>#DIV/0!</v>
      </c>
      <c r="G27" s="20" t="e">
        <f>+(final_results!G27-Raw_Financials!G27)/Raw_Financials!G27</f>
        <v>#DIV/0!</v>
      </c>
      <c r="H27" s="20" t="e">
        <f>+(final_results!H27-Raw_Financials!H27)/Raw_Financials!H27</f>
        <v>#DIV/0!</v>
      </c>
      <c r="I27" s="20" t="e">
        <f>+(final_results!I27-Raw_Financials!I27)/Raw_Financials!I27</f>
        <v>#DIV/0!</v>
      </c>
      <c r="J27" s="20" t="e">
        <f>+(final_results!J27-Raw_Financials!J27)/Raw_Financials!J27</f>
        <v>#DIV/0!</v>
      </c>
      <c r="K27" s="20" t="e">
        <f>+(final_results!K27-Raw_Financials!K27)/Raw_Financials!K27</f>
        <v>#DIV/0!</v>
      </c>
    </row>
    <row r="28" spans="1:11">
      <c r="A28" s="6" t="s">
        <v>26</v>
      </c>
      <c r="B28" s="20" t="e">
        <f>+(final_results!B28-Raw_Financials!B28)/Raw_Financials!B28</f>
        <v>#DIV/0!</v>
      </c>
      <c r="C28" s="20" t="e">
        <f>+(final_results!C28-Raw_Financials!C28)/Raw_Financials!C28</f>
        <v>#DIV/0!</v>
      </c>
      <c r="D28" s="20" t="e">
        <f>+(final_results!D28-Raw_Financials!D28)/Raw_Financials!D28</f>
        <v>#DIV/0!</v>
      </c>
      <c r="E28" s="20" t="e">
        <f>+(final_results!E28-Raw_Financials!E28)/Raw_Financials!E28</f>
        <v>#DIV/0!</v>
      </c>
      <c r="F28" s="20" t="e">
        <f>+(final_results!F28-Raw_Financials!F28)/Raw_Financials!F28</f>
        <v>#DIV/0!</v>
      </c>
      <c r="G28" s="20" t="e">
        <f>+(final_results!G28-Raw_Financials!G28)/Raw_Financials!G28</f>
        <v>#DIV/0!</v>
      </c>
      <c r="H28" s="20" t="e">
        <f>+(final_results!H28-Raw_Financials!H28)/Raw_Financials!H28</f>
        <v>#DIV/0!</v>
      </c>
      <c r="I28" s="20" t="e">
        <f>+(final_results!I28-Raw_Financials!I28)/Raw_Financials!I28</f>
        <v>#DIV/0!</v>
      </c>
      <c r="J28" s="20" t="e">
        <f>+(final_results!J28-Raw_Financials!J28)/Raw_Financials!J28</f>
        <v>#DIV/0!</v>
      </c>
      <c r="K28" s="20" t="e">
        <f>+(final_results!K28-Raw_Financials!K28)/Raw_Financials!K28</f>
        <v>#DIV/0!</v>
      </c>
    </row>
    <row r="29" spans="1:11">
      <c r="A29" s="5" t="s">
        <v>27</v>
      </c>
      <c r="B29" s="20" t="e">
        <f>+(final_results!B29-Raw_Financials!B29)/Raw_Financials!B29</f>
        <v>#DIV/0!</v>
      </c>
      <c r="C29" s="20" t="e">
        <f>+(final_results!C29-Raw_Financials!C29)/Raw_Financials!C29</f>
        <v>#DIV/0!</v>
      </c>
      <c r="D29" s="20" t="e">
        <f>+(final_results!D29-Raw_Financials!D29)/Raw_Financials!D29</f>
        <v>#DIV/0!</v>
      </c>
      <c r="E29" s="20" t="e">
        <f>+(final_results!E29-Raw_Financials!E29)/Raw_Financials!E29</f>
        <v>#DIV/0!</v>
      </c>
      <c r="F29" s="20" t="e">
        <f>+(final_results!F29-Raw_Financials!F29)/Raw_Financials!F29</f>
        <v>#DIV/0!</v>
      </c>
      <c r="G29" s="20" t="e">
        <f>+(final_results!G29-Raw_Financials!G29)/Raw_Financials!G29</f>
        <v>#DIV/0!</v>
      </c>
      <c r="H29" s="20" t="e">
        <f>+(final_results!H29-Raw_Financials!H29)/Raw_Financials!H29</f>
        <v>#DIV/0!</v>
      </c>
      <c r="I29" s="20" t="e">
        <f>+(final_results!I29-Raw_Financials!I29)/Raw_Financials!I29</f>
        <v>#DIV/0!</v>
      </c>
      <c r="J29" s="20" t="e">
        <f>+(final_results!J29-Raw_Financials!J29)/Raw_Financials!J29</f>
        <v>#DIV/0!</v>
      </c>
      <c r="K29" s="20" t="e">
        <f>+(final_results!K29-Raw_Financials!K29)/Raw_Financials!K29</f>
        <v>#DIV/0!</v>
      </c>
    </row>
    <row r="30" spans="1:11">
      <c r="A30" s="6" t="s">
        <v>28</v>
      </c>
      <c r="B30" s="20">
        <f>+(final_results!B30-Raw_Financials!B30)/Raw_Financials!B30</f>
        <v>0</v>
      </c>
      <c r="C30" s="20">
        <f>+(final_results!C30-Raw_Financials!C30)/Raw_Financials!C30</f>
        <v>0</v>
      </c>
      <c r="D30" s="20">
        <f>+(final_results!D30-Raw_Financials!D30)/Raw_Financials!D30</f>
        <v>0</v>
      </c>
      <c r="E30" s="20">
        <f>+(final_results!E30-Raw_Financials!E30)/Raw_Financials!E30</f>
        <v>0</v>
      </c>
      <c r="F30" s="20">
        <f>+(final_results!F30-Raw_Financials!F30)/Raw_Financials!F30</f>
        <v>0</v>
      </c>
      <c r="G30" s="20">
        <f>+(final_results!G30-Raw_Financials!G30)/Raw_Financials!G30</f>
        <v>0</v>
      </c>
      <c r="H30" s="20">
        <f>+(final_results!H30-Raw_Financials!H30)/Raw_Financials!H30</f>
        <v>0</v>
      </c>
      <c r="I30" s="20">
        <f>+(final_results!I30-Raw_Financials!I30)/Raw_Financials!I30</f>
        <v>0</v>
      </c>
      <c r="J30" s="20">
        <f>+(final_results!J30-Raw_Financials!J30)/Raw_Financials!J30</f>
        <v>0</v>
      </c>
      <c r="K30" s="20">
        <f>+(final_results!K30-Raw_Financials!K30)/Raw_Financials!K30</f>
        <v>0</v>
      </c>
    </row>
    <row r="31" spans="1:11">
      <c r="A31" s="5" t="s">
        <v>29</v>
      </c>
      <c r="B31" s="20" t="e">
        <f>+(final_results!B31-Raw_Financials!B31)/Raw_Financials!B31</f>
        <v>#DIV/0!</v>
      </c>
      <c r="C31" s="20">
        <f>+(final_results!C31-Raw_Financials!C31)/Raw_Financials!C31</f>
        <v>0</v>
      </c>
      <c r="D31" s="20">
        <f>+(final_results!D31-Raw_Financials!D31)/Raw_Financials!D31</f>
        <v>0</v>
      </c>
      <c r="E31" s="20">
        <f>+(final_results!E31-Raw_Financials!E31)/Raw_Financials!E31</f>
        <v>0</v>
      </c>
      <c r="F31" s="20">
        <f>+(final_results!F31-Raw_Financials!F31)/Raw_Financials!F31</f>
        <v>0</v>
      </c>
      <c r="G31" s="20">
        <f>+(final_results!G31-Raw_Financials!G31)/Raw_Financials!G31</f>
        <v>-1.1265756650904877E-16</v>
      </c>
      <c r="H31" s="20">
        <f>+(final_results!H31-Raw_Financials!H31)/Raw_Financials!H31</f>
        <v>0</v>
      </c>
      <c r="I31" s="20">
        <f>+(final_results!I31-Raw_Financials!I31)/Raw_Financials!I31</f>
        <v>1.5700586504928881E-16</v>
      </c>
      <c r="J31" s="20">
        <f>+(final_results!J31-Raw_Financials!J31)/Raw_Financials!J31</f>
        <v>0</v>
      </c>
      <c r="K31" s="20">
        <f>+(final_results!K31-Raw_Financials!K31)/Raw_Financials!K31</f>
        <v>0</v>
      </c>
    </row>
    <row r="32" spans="1:11">
      <c r="A32" s="7" t="s">
        <v>30</v>
      </c>
      <c r="B32" s="20">
        <f>+(final_results!B32-Raw_Financials!B32)/Raw_Financials!B32</f>
        <v>0</v>
      </c>
      <c r="C32" s="20">
        <f>+(final_results!C32-Raw_Financials!C32)/Raw_Financials!C32</f>
        <v>0</v>
      </c>
      <c r="D32" s="20">
        <f>+(final_results!D32-Raw_Financials!D32)/Raw_Financials!D32</f>
        <v>0</v>
      </c>
      <c r="E32" s="20">
        <f>+(final_results!E32-Raw_Financials!E32)/Raw_Financials!E32</f>
        <v>0</v>
      </c>
      <c r="F32" s="20">
        <f>+(final_results!F32-Raw_Financials!F32)/Raw_Financials!F32</f>
        <v>0</v>
      </c>
      <c r="G32" s="20">
        <f>+(final_results!G32-Raw_Financials!G32)/Raw_Financials!G32</f>
        <v>0</v>
      </c>
      <c r="H32" s="20">
        <f>+(final_results!H32-Raw_Financials!H32)/Raw_Financials!H32</f>
        <v>0</v>
      </c>
      <c r="I32" s="20">
        <f>+(final_results!I32-Raw_Financials!I32)/Raw_Financials!I32</f>
        <v>0</v>
      </c>
      <c r="J32" s="20">
        <f>+(final_results!J32-Raw_Financials!J32)/Raw_Financials!J32</f>
        <v>0</v>
      </c>
      <c r="K32" s="20">
        <f>+(final_results!K32-Raw_Financials!K32)/Raw_Financials!K32</f>
        <v>0</v>
      </c>
    </row>
    <row r="33" spans="1:11">
      <c r="A33" s="5" t="s">
        <v>31</v>
      </c>
      <c r="B33" s="20">
        <f>+(final_results!B33-Raw_Financials!B33)/Raw_Financials!B33</f>
        <v>0</v>
      </c>
      <c r="C33" s="20">
        <f>+(final_results!C33-Raw_Financials!C33)/Raw_Financials!C33</f>
        <v>0</v>
      </c>
      <c r="D33" s="20">
        <f>+(final_results!D33-Raw_Financials!D33)/Raw_Financials!D33</f>
        <v>0</v>
      </c>
      <c r="E33" s="20">
        <f>+(final_results!E33-Raw_Financials!E33)/Raw_Financials!E33</f>
        <v>0</v>
      </c>
      <c r="F33" s="20">
        <f>+(final_results!F33-Raw_Financials!F33)/Raw_Financials!F33</f>
        <v>0</v>
      </c>
      <c r="G33" s="20">
        <f>+(final_results!G33-Raw_Financials!G33)/Raw_Financials!G33</f>
        <v>0</v>
      </c>
      <c r="H33" s="20">
        <f>+(final_results!H33-Raw_Financials!H33)/Raw_Financials!H33</f>
        <v>0</v>
      </c>
      <c r="I33" s="20">
        <f>+(final_results!I33-Raw_Financials!I33)/Raw_Financials!I33</f>
        <v>0</v>
      </c>
      <c r="J33" s="20">
        <f>+(final_results!J33-Raw_Financials!J33)/Raw_Financials!J33</f>
        <v>-0.13150344545875062</v>
      </c>
      <c r="K33" s="20">
        <f>+(final_results!K33-Raw_Financials!K33)/Raw_Financials!K33</f>
        <v>-0.41766310205594037</v>
      </c>
    </row>
    <row r="34" spans="1:11">
      <c r="A34" s="6" t="s">
        <v>32</v>
      </c>
      <c r="B34" s="20">
        <f>+(final_results!B34-Raw_Financials!B34)/Raw_Financials!B34</f>
        <v>-1</v>
      </c>
      <c r="C34" s="20">
        <f>+(final_results!C34-Raw_Financials!C34)/Raw_Financials!C34</f>
        <v>-1</v>
      </c>
      <c r="D34" s="20" t="e">
        <f>+(final_results!D34-Raw_Financials!D34)/Raw_Financials!D34</f>
        <v>#DIV/0!</v>
      </c>
      <c r="E34" s="20" t="e">
        <f>+(final_results!E34-Raw_Financials!E34)/Raw_Financials!E34</f>
        <v>#DIV/0!</v>
      </c>
      <c r="F34" s="20" t="e">
        <f>+(final_results!F34-Raw_Financials!F34)/Raw_Financials!F34</f>
        <v>#DIV/0!</v>
      </c>
      <c r="G34" s="20" t="e">
        <f>+(final_results!G34-Raw_Financials!G34)/Raw_Financials!G34</f>
        <v>#DIV/0!</v>
      </c>
      <c r="H34" s="20" t="e">
        <f>+(final_results!H34-Raw_Financials!H34)/Raw_Financials!H34</f>
        <v>#DIV/0!</v>
      </c>
      <c r="I34" s="20" t="e">
        <f>+(final_results!I34-Raw_Financials!I34)/Raw_Financials!I34</f>
        <v>#DIV/0!</v>
      </c>
      <c r="J34" s="20" t="e">
        <f>+(final_results!J34-Raw_Financials!J34)/Raw_Financials!J34</f>
        <v>#DIV/0!</v>
      </c>
      <c r="K34" s="20" t="e">
        <f>+(final_results!K34-Raw_Financials!K34)/Raw_Financials!K34</f>
        <v>#DIV/0!</v>
      </c>
    </row>
    <row r="35" spans="1:11">
      <c r="A35" s="5" t="s">
        <v>33</v>
      </c>
      <c r="B35" s="20" t="e">
        <f>+(final_results!B35-Raw_Financials!B35)/Raw_Financials!B35</f>
        <v>#DIV/0!</v>
      </c>
      <c r="C35" s="20" t="e">
        <f>+(final_results!C35-Raw_Financials!C35)/Raw_Financials!C35</f>
        <v>#DIV/0!</v>
      </c>
      <c r="D35" s="20" t="e">
        <f>+(final_results!D35-Raw_Financials!D35)/Raw_Financials!D35</f>
        <v>#DIV/0!</v>
      </c>
      <c r="E35" s="20" t="e">
        <f>+(final_results!E35-Raw_Financials!E35)/Raw_Financials!E35</f>
        <v>#DIV/0!</v>
      </c>
      <c r="F35" s="20" t="e">
        <f>+(final_results!F35-Raw_Financials!F35)/Raw_Financials!F35</f>
        <v>#DIV/0!</v>
      </c>
      <c r="G35" s="20" t="e">
        <f>+(final_results!G35-Raw_Financials!G35)/Raw_Financials!G35</f>
        <v>#DIV/0!</v>
      </c>
      <c r="H35" s="20" t="e">
        <f>+(final_results!H35-Raw_Financials!H35)/Raw_Financials!H35</f>
        <v>#DIV/0!</v>
      </c>
      <c r="I35" s="20" t="e">
        <f>+(final_results!I35-Raw_Financials!I35)/Raw_Financials!I35</f>
        <v>#DIV/0!</v>
      </c>
      <c r="J35" s="20" t="e">
        <f>+(final_results!J35-Raw_Financials!J35)/Raw_Financials!J35</f>
        <v>#DIV/0!</v>
      </c>
      <c r="K35" s="20" t="e">
        <f>+(final_results!K35-Raw_Financials!K35)/Raw_Financials!K35</f>
        <v>#DIV/0!</v>
      </c>
    </row>
    <row r="36" spans="1:11">
      <c r="A36" s="6" t="s">
        <v>34</v>
      </c>
      <c r="B36" s="20">
        <f>+(final_results!B36-Raw_Financials!B36)/Raw_Financials!B36</f>
        <v>-1</v>
      </c>
      <c r="C36" s="20">
        <f>+(final_results!C36-Raw_Financials!C36)/Raw_Financials!C36</f>
        <v>-1</v>
      </c>
      <c r="D36" s="20" t="e">
        <f>+(final_results!D36-Raw_Financials!D36)/Raw_Financials!D36</f>
        <v>#DIV/0!</v>
      </c>
      <c r="E36" s="20" t="e">
        <f>+(final_results!E36-Raw_Financials!E36)/Raw_Financials!E36</f>
        <v>#DIV/0!</v>
      </c>
      <c r="F36" s="20" t="e">
        <f>+(final_results!F36-Raw_Financials!F36)/Raw_Financials!F36</f>
        <v>#DIV/0!</v>
      </c>
      <c r="G36" s="20" t="e">
        <f>+(final_results!G36-Raw_Financials!G36)/Raw_Financials!G36</f>
        <v>#DIV/0!</v>
      </c>
      <c r="H36" s="20" t="e">
        <f>+(final_results!H36-Raw_Financials!H36)/Raw_Financials!H36</f>
        <v>#DIV/0!</v>
      </c>
      <c r="I36" s="20" t="e">
        <f>+(final_results!I36-Raw_Financials!I36)/Raw_Financials!I36</f>
        <v>#DIV/0!</v>
      </c>
      <c r="J36" s="20" t="e">
        <f>+(final_results!J36-Raw_Financials!J36)/Raw_Financials!J36</f>
        <v>#DIV/0!</v>
      </c>
      <c r="K36" s="20" t="e">
        <f>+(final_results!K36-Raw_Financials!K36)/Raw_Financials!K36</f>
        <v>#DIV/0!</v>
      </c>
    </row>
    <row r="37" spans="1:11">
      <c r="A37" s="5" t="s">
        <v>35</v>
      </c>
      <c r="B37" s="20">
        <f>+(final_results!B37-Raw_Financials!B37)/Raw_Financials!B37</f>
        <v>0</v>
      </c>
      <c r="C37" s="20">
        <f>+(final_results!C37-Raw_Financials!C37)/Raw_Financials!C37</f>
        <v>-3.5399602195394717E-2</v>
      </c>
      <c r="D37" s="20" t="e">
        <f>+(final_results!D37-Raw_Financials!D37)/Raw_Financials!D37</f>
        <v>#DIV/0!</v>
      </c>
      <c r="E37" s="20" t="e">
        <f>+(final_results!E37-Raw_Financials!E37)/Raw_Financials!E37</f>
        <v>#DIV/0!</v>
      </c>
      <c r="F37" s="20" t="e">
        <f>+(final_results!F37-Raw_Financials!F37)/Raw_Financials!F37</f>
        <v>#DIV/0!</v>
      </c>
      <c r="G37" s="20" t="e">
        <f>+(final_results!G37-Raw_Financials!G37)/Raw_Financials!G37</f>
        <v>#DIV/0!</v>
      </c>
      <c r="H37" s="20" t="e">
        <f>+(final_results!H37-Raw_Financials!H37)/Raw_Financials!H37</f>
        <v>#DIV/0!</v>
      </c>
      <c r="I37" s="20">
        <f>+(final_results!I37-Raw_Financials!I37)/Raw_Financials!I37</f>
        <v>0</v>
      </c>
      <c r="J37" s="20" t="e">
        <f>+(final_results!J37-Raw_Financials!J37)/Raw_Financials!J37</f>
        <v>#DIV/0!</v>
      </c>
      <c r="K37" s="20" t="e">
        <f>+(final_results!K37-Raw_Financials!K37)/Raw_Financials!K37</f>
        <v>#DIV/0!</v>
      </c>
    </row>
    <row r="38" spans="1:11">
      <c r="A38" s="6" t="s">
        <v>36</v>
      </c>
      <c r="B38" s="20" t="e">
        <f>+(final_results!B38-Raw_Financials!B38)/Raw_Financials!B38</f>
        <v>#DIV/0!</v>
      </c>
      <c r="C38" s="20" t="e">
        <f>+(final_results!C38-Raw_Financials!C38)/Raw_Financials!C38</f>
        <v>#DIV/0!</v>
      </c>
      <c r="D38" s="20" t="e">
        <f>+(final_results!D38-Raw_Financials!D38)/Raw_Financials!D38</f>
        <v>#DIV/0!</v>
      </c>
      <c r="E38" s="20" t="e">
        <f>+(final_results!E38-Raw_Financials!E38)/Raw_Financials!E38</f>
        <v>#DIV/0!</v>
      </c>
      <c r="F38" s="20" t="e">
        <f>+(final_results!F38-Raw_Financials!F38)/Raw_Financials!F38</f>
        <v>#DIV/0!</v>
      </c>
      <c r="G38" s="20" t="e">
        <f>+(final_results!G38-Raw_Financials!G38)/Raw_Financials!G38</f>
        <v>#DIV/0!</v>
      </c>
      <c r="H38" s="20" t="e">
        <f>+(final_results!H38-Raw_Financials!H38)/Raw_Financials!H38</f>
        <v>#DIV/0!</v>
      </c>
      <c r="I38" s="20" t="e">
        <f>+(final_results!I38-Raw_Financials!I38)/Raw_Financials!I38</f>
        <v>#DIV/0!</v>
      </c>
      <c r="J38" s="20" t="e">
        <f>+(final_results!J38-Raw_Financials!J38)/Raw_Financials!J38</f>
        <v>#DIV/0!</v>
      </c>
      <c r="K38" s="20" t="e">
        <f>+(final_results!K38-Raw_Financials!K38)/Raw_Financials!K38</f>
        <v>#DIV/0!</v>
      </c>
    </row>
    <row r="39" spans="1:11">
      <c r="A39" s="5" t="s">
        <v>37</v>
      </c>
      <c r="B39" s="20" t="e">
        <f>+(final_results!B39-Raw_Financials!B39)/Raw_Financials!B39</f>
        <v>#DIV/0!</v>
      </c>
      <c r="C39" s="20" t="e">
        <f>+(final_results!C39-Raw_Financials!C39)/Raw_Financials!C39</f>
        <v>#DIV/0!</v>
      </c>
      <c r="D39" s="20" t="e">
        <f>+(final_results!D39-Raw_Financials!D39)/Raw_Financials!D39</f>
        <v>#DIV/0!</v>
      </c>
      <c r="E39" s="20" t="e">
        <f>+(final_results!E39-Raw_Financials!E39)/Raw_Financials!E39</f>
        <v>#DIV/0!</v>
      </c>
      <c r="F39" s="20" t="e">
        <f>+(final_results!F39-Raw_Financials!F39)/Raw_Financials!F39</f>
        <v>#DIV/0!</v>
      </c>
      <c r="G39" s="20" t="e">
        <f>+(final_results!G39-Raw_Financials!G39)/Raw_Financials!G39</f>
        <v>#DIV/0!</v>
      </c>
      <c r="H39" s="20" t="e">
        <f>+(final_results!H39-Raw_Financials!H39)/Raw_Financials!H39</f>
        <v>#DIV/0!</v>
      </c>
      <c r="I39" s="20" t="e">
        <f>+(final_results!I39-Raw_Financials!I39)/Raw_Financials!I39</f>
        <v>#DIV/0!</v>
      </c>
      <c r="J39" s="20" t="e">
        <f>+(final_results!J39-Raw_Financials!J39)/Raw_Financials!J39</f>
        <v>#DIV/0!</v>
      </c>
      <c r="K39" s="20" t="e">
        <f>+(final_results!K39-Raw_Financials!K39)/Raw_Financials!K39</f>
        <v>#DIV/0!</v>
      </c>
    </row>
    <row r="40" spans="1:11">
      <c r="A40" s="6" t="s">
        <v>38</v>
      </c>
      <c r="B40" s="20" t="e">
        <f>+(final_results!B40-Raw_Financials!B40)/Raw_Financials!B40</f>
        <v>#DIV/0!</v>
      </c>
      <c r="C40" s="20" t="e">
        <f>+(final_results!C40-Raw_Financials!C40)/Raw_Financials!C40</f>
        <v>#DIV/0!</v>
      </c>
      <c r="D40" s="20" t="e">
        <f>+(final_results!D40-Raw_Financials!D40)/Raw_Financials!D40</f>
        <v>#DIV/0!</v>
      </c>
      <c r="E40" s="20" t="e">
        <f>+(final_results!E40-Raw_Financials!E40)/Raw_Financials!E40</f>
        <v>#DIV/0!</v>
      </c>
      <c r="F40" s="20" t="e">
        <f>+(final_results!F40-Raw_Financials!F40)/Raw_Financials!F40</f>
        <v>#DIV/0!</v>
      </c>
      <c r="G40" s="20" t="e">
        <f>+(final_results!G40-Raw_Financials!G40)/Raw_Financials!G40</f>
        <v>#DIV/0!</v>
      </c>
      <c r="H40" s="20" t="e">
        <f>+(final_results!H40-Raw_Financials!H40)/Raw_Financials!H40</f>
        <v>#DIV/0!</v>
      </c>
      <c r="I40" s="20" t="e">
        <f>+(final_results!I40-Raw_Financials!I40)/Raw_Financials!I40</f>
        <v>#DIV/0!</v>
      </c>
      <c r="J40" s="20" t="e">
        <f>+(final_results!J40-Raw_Financials!J40)/Raw_Financials!J40</f>
        <v>#DIV/0!</v>
      </c>
      <c r="K40" s="20" t="e">
        <f>+(final_results!K40-Raw_Financials!K40)/Raw_Financials!K40</f>
        <v>#DIV/0!</v>
      </c>
    </row>
    <row r="41" spans="1:11">
      <c r="A41" s="5" t="s">
        <v>39</v>
      </c>
      <c r="B41" s="20" t="e">
        <f>+(final_results!B41-Raw_Financials!B41)/Raw_Financials!B41</f>
        <v>#DIV/0!</v>
      </c>
      <c r="C41" s="20" t="e">
        <f>+(final_results!C41-Raw_Financials!C41)/Raw_Financials!C41</f>
        <v>#DIV/0!</v>
      </c>
      <c r="D41" s="20" t="e">
        <f>+(final_results!D41-Raw_Financials!D41)/Raw_Financials!D41</f>
        <v>#DIV/0!</v>
      </c>
      <c r="E41" s="20" t="e">
        <f>+(final_results!E41-Raw_Financials!E41)/Raw_Financials!E41</f>
        <v>#DIV/0!</v>
      </c>
      <c r="F41" s="20" t="e">
        <f>+(final_results!F41-Raw_Financials!F41)/Raw_Financials!F41</f>
        <v>#DIV/0!</v>
      </c>
      <c r="G41" s="20" t="e">
        <f>+(final_results!G41-Raw_Financials!G41)/Raw_Financials!G41</f>
        <v>#DIV/0!</v>
      </c>
      <c r="H41" s="20" t="e">
        <f>+(final_results!H41-Raw_Financials!H41)/Raw_Financials!H41</f>
        <v>#DIV/0!</v>
      </c>
      <c r="I41" s="20" t="e">
        <f>+(final_results!I41-Raw_Financials!I41)/Raw_Financials!I41</f>
        <v>#DIV/0!</v>
      </c>
      <c r="J41" s="20" t="e">
        <f>+(final_results!J41-Raw_Financials!J41)/Raw_Financials!J41</f>
        <v>#DIV/0!</v>
      </c>
      <c r="K41" s="20" t="e">
        <f>+(final_results!K41-Raw_Financials!K41)/Raw_Financials!K41</f>
        <v>#DIV/0!</v>
      </c>
    </row>
    <row r="42" spans="1:11">
      <c r="A42" s="6" t="s">
        <v>40</v>
      </c>
      <c r="B42" s="20" t="e">
        <f>+(final_results!B42-Raw_Financials!B42)/Raw_Financials!B42</f>
        <v>#DIV/0!</v>
      </c>
      <c r="C42" s="20">
        <f>+(final_results!C42-Raw_Financials!C42)/Raw_Financials!C42</f>
        <v>0</v>
      </c>
      <c r="D42" s="20" t="e">
        <f>+(final_results!D42-Raw_Financials!D42)/Raw_Financials!D42</f>
        <v>#DIV/0!</v>
      </c>
      <c r="E42" s="20" t="e">
        <f>+(final_results!E42-Raw_Financials!E42)/Raw_Financials!E42</f>
        <v>#DIV/0!</v>
      </c>
      <c r="F42" s="20">
        <f>+(final_results!F42-Raw_Financials!F42)/Raw_Financials!F42</f>
        <v>-0.99989300049914998</v>
      </c>
      <c r="G42" s="20" t="e">
        <f>+(final_results!G42-Raw_Financials!G42)/Raw_Financials!G42</f>
        <v>#DIV/0!</v>
      </c>
      <c r="H42" s="20">
        <f>+(final_results!H42-Raw_Financials!H42)/Raw_Financials!H42</f>
        <v>-0.97601514452326599</v>
      </c>
      <c r="I42" s="20" t="e">
        <f>+(final_results!I42-Raw_Financials!I42)/Raw_Financials!I42</f>
        <v>#DIV/0!</v>
      </c>
      <c r="J42" s="20" t="e">
        <f>+(final_results!J42-Raw_Financials!J42)/Raw_Financials!J42</f>
        <v>#DIV/0!</v>
      </c>
      <c r="K42" s="20" t="e">
        <f>+(final_results!K42-Raw_Financials!K42)/Raw_Financials!K42</f>
        <v>#DIV/0!</v>
      </c>
    </row>
    <row r="43" spans="1:11">
      <c r="A43" s="5" t="s">
        <v>41</v>
      </c>
      <c r="B43" s="20" t="e">
        <f>+(final_results!B43-Raw_Financials!B43)/Raw_Financials!B43</f>
        <v>#DIV/0!</v>
      </c>
      <c r="C43" s="20" t="e">
        <f>+(final_results!C43-Raw_Financials!C43)/Raw_Financials!C43</f>
        <v>#DIV/0!</v>
      </c>
      <c r="D43" s="20" t="e">
        <f>+(final_results!D43-Raw_Financials!D43)/Raw_Financials!D43</f>
        <v>#DIV/0!</v>
      </c>
      <c r="E43" s="20" t="e">
        <f>+(final_results!E43-Raw_Financials!E43)/Raw_Financials!E43</f>
        <v>#DIV/0!</v>
      </c>
      <c r="F43" s="20" t="e">
        <f>+(final_results!F43-Raw_Financials!F43)/Raw_Financials!F43</f>
        <v>#DIV/0!</v>
      </c>
      <c r="G43" s="20" t="e">
        <f>+(final_results!G43-Raw_Financials!G43)/Raw_Financials!G43</f>
        <v>#DIV/0!</v>
      </c>
      <c r="H43" s="20" t="e">
        <f>+(final_results!H43-Raw_Financials!H43)/Raw_Financials!H43</f>
        <v>#DIV/0!</v>
      </c>
      <c r="I43" s="20" t="e">
        <f>+(final_results!I43-Raw_Financials!I43)/Raw_Financials!I43</f>
        <v>#DIV/0!</v>
      </c>
      <c r="J43" s="20" t="e">
        <f>+(final_results!J43-Raw_Financials!J43)/Raw_Financials!J43</f>
        <v>#DIV/0!</v>
      </c>
      <c r="K43" s="20" t="e">
        <f>+(final_results!K43-Raw_Financials!K43)/Raw_Financials!K43</f>
        <v>#DIV/0!</v>
      </c>
    </row>
    <row r="44" spans="1:11">
      <c r="A44" s="6" t="s">
        <v>42</v>
      </c>
      <c r="B44" s="20">
        <f>+(final_results!B44-Raw_Financials!B44)/Raw_Financials!B44</f>
        <v>-1.354925517057827E-16</v>
      </c>
      <c r="C44" s="20">
        <f>+(final_results!C44-Raw_Financials!C44)/Raw_Financials!C44</f>
        <v>0</v>
      </c>
      <c r="D44" s="20">
        <f>+(final_results!D44-Raw_Financials!D44)/Raw_Financials!D44</f>
        <v>0</v>
      </c>
      <c r="E44" s="20">
        <f>+(final_results!E44-Raw_Financials!E44)/Raw_Financials!E44</f>
        <v>0</v>
      </c>
      <c r="F44" s="20">
        <f>+(final_results!F44-Raw_Financials!F44)/Raw_Financials!F44</f>
        <v>0</v>
      </c>
      <c r="G44" s="20">
        <f>+(final_results!G44-Raw_Financials!G44)/Raw_Financials!G44</f>
        <v>0</v>
      </c>
      <c r="H44" s="20">
        <f>+(final_results!H44-Raw_Financials!H44)/Raw_Financials!H44</f>
        <v>0</v>
      </c>
      <c r="I44" s="20">
        <f>+(final_results!I44-Raw_Financials!I44)/Raw_Financials!I44</f>
        <v>0</v>
      </c>
      <c r="J44" s="20">
        <f>+(final_results!J44-Raw_Financials!J44)/Raw_Financials!J44</f>
        <v>0</v>
      </c>
      <c r="K44" s="20">
        <f>+(final_results!K44-Raw_Financials!K44)/Raw_Financials!K44</f>
        <v>0</v>
      </c>
    </row>
    <row r="45" spans="1:11">
      <c r="A45" s="5" t="s">
        <v>43</v>
      </c>
      <c r="B45" s="20">
        <f>+(final_results!B45-Raw_Financials!B45)/Raw_Financials!B45</f>
        <v>0</v>
      </c>
      <c r="C45" s="20">
        <f>+(final_results!C45-Raw_Financials!C45)/Raw_Financials!C45</f>
        <v>0</v>
      </c>
      <c r="D45" s="20">
        <f>+(final_results!D45-Raw_Financials!D45)/Raw_Financials!D45</f>
        <v>0</v>
      </c>
      <c r="E45" s="20">
        <f>+(final_results!E45-Raw_Financials!E45)/Raw_Financials!E45</f>
        <v>0</v>
      </c>
      <c r="F45" s="20">
        <f>+(final_results!F45-Raw_Financials!F45)/Raw_Financials!F45</f>
        <v>0</v>
      </c>
      <c r="G45" s="20">
        <f>+(final_results!G45-Raw_Financials!G45)/Raw_Financials!G45</f>
        <v>0</v>
      </c>
      <c r="H45" s="20">
        <f>+(final_results!H45-Raw_Financials!H45)/Raw_Financials!H45</f>
        <v>0</v>
      </c>
      <c r="I45" s="20">
        <f>+(final_results!I45-Raw_Financials!I45)/Raw_Financials!I45</f>
        <v>0</v>
      </c>
      <c r="J45" s="20">
        <f>+(final_results!J45-Raw_Financials!J45)/Raw_Financials!J45</f>
        <v>-1.141908081479889E-16</v>
      </c>
      <c r="K45" s="20">
        <f>+(final_results!K45-Raw_Financials!K45)/Raw_Financials!K45</f>
        <v>-1.2093038647594545E-16</v>
      </c>
    </row>
    <row r="46" spans="1:11">
      <c r="A46" s="6" t="s">
        <v>44</v>
      </c>
      <c r="B46" s="20">
        <f>+(final_results!B46-Raw_Financials!B46)/Raw_Financials!B46</f>
        <v>0</v>
      </c>
      <c r="C46" s="20">
        <f>+(final_results!C46-Raw_Financials!C46)/Raw_Financials!C46</f>
        <v>0</v>
      </c>
      <c r="D46" s="20">
        <f>+(final_results!D46-Raw_Financials!D46)/Raw_Financials!D46</f>
        <v>0</v>
      </c>
      <c r="E46" s="20">
        <f>+(final_results!E46-Raw_Financials!E46)/Raw_Financials!E46</f>
        <v>-1.2893991375973799E-16</v>
      </c>
      <c r="F46" s="20">
        <f>+(final_results!F46-Raw_Financials!F46)/Raw_Financials!F46</f>
        <v>0</v>
      </c>
      <c r="G46" s="20">
        <f>+(final_results!G46-Raw_Financials!G46)/Raw_Financials!G46</f>
        <v>0</v>
      </c>
      <c r="H46" s="20">
        <f>+(final_results!H46-Raw_Financials!H46)/Raw_Financials!H46</f>
        <v>0</v>
      </c>
      <c r="I46" s="20">
        <f>+(final_results!I46-Raw_Financials!I46)/Raw_Financials!I46</f>
        <v>1.639889820710817E-16</v>
      </c>
      <c r="J46" s="20">
        <f>+(final_results!J46-Raw_Financials!J46)/Raw_Financials!J46</f>
        <v>0</v>
      </c>
      <c r="K46" s="20">
        <f>+(final_results!K46-Raw_Financials!K46)/Raw_Financials!K46</f>
        <v>0</v>
      </c>
    </row>
    <row r="47" spans="1:11">
      <c r="A47" s="5" t="s">
        <v>45</v>
      </c>
      <c r="B47" s="20" t="e">
        <f>+(final_results!B47-Raw_Financials!B47)/Raw_Financials!B47</f>
        <v>#DIV/0!</v>
      </c>
      <c r="C47" s="20" t="e">
        <f>+(final_results!C47-Raw_Financials!C47)/Raw_Financials!C47</f>
        <v>#DIV/0!</v>
      </c>
      <c r="D47" s="20" t="e">
        <f>+(final_results!D47-Raw_Financials!D47)/Raw_Financials!D47</f>
        <v>#DIV/0!</v>
      </c>
      <c r="E47" s="20" t="e">
        <f>+(final_results!E47-Raw_Financials!E47)/Raw_Financials!E47</f>
        <v>#DIV/0!</v>
      </c>
      <c r="F47" s="20" t="e">
        <f>+(final_results!F47-Raw_Financials!F47)/Raw_Financials!F47</f>
        <v>#DIV/0!</v>
      </c>
      <c r="G47" s="20" t="e">
        <f>+(final_results!G47-Raw_Financials!G47)/Raw_Financials!G47</f>
        <v>#DIV/0!</v>
      </c>
      <c r="H47" s="20" t="e">
        <f>+(final_results!H47-Raw_Financials!H47)/Raw_Financials!H47</f>
        <v>#DIV/0!</v>
      </c>
      <c r="I47" s="20" t="e">
        <f>+(final_results!I47-Raw_Financials!I47)/Raw_Financials!I47</f>
        <v>#DIV/0!</v>
      </c>
      <c r="J47" s="20" t="e">
        <f>+(final_results!J47-Raw_Financials!J47)/Raw_Financials!J47</f>
        <v>#DIV/0!</v>
      </c>
      <c r="K47" s="20" t="e">
        <f>+(final_results!K47-Raw_Financials!K47)/Raw_Financials!K47</f>
        <v>#DIV/0!</v>
      </c>
    </row>
    <row r="48" spans="1:11">
      <c r="A48" s="6" t="s">
        <v>46</v>
      </c>
      <c r="B48" s="20" t="e">
        <f>+(final_results!B48-Raw_Financials!B48)/Raw_Financials!B48</f>
        <v>#DIV/0!</v>
      </c>
      <c r="C48" s="20" t="e">
        <f>+(final_results!C48-Raw_Financials!C48)/Raw_Financials!C48</f>
        <v>#DIV/0!</v>
      </c>
      <c r="D48" s="20" t="e">
        <f>+(final_results!D48-Raw_Financials!D48)/Raw_Financials!D48</f>
        <v>#DIV/0!</v>
      </c>
      <c r="E48" s="20" t="e">
        <f>+(final_results!E48-Raw_Financials!E48)/Raw_Financials!E48</f>
        <v>#DIV/0!</v>
      </c>
      <c r="F48" s="20" t="e">
        <f>+(final_results!F48-Raw_Financials!F48)/Raw_Financials!F48</f>
        <v>#DIV/0!</v>
      </c>
      <c r="G48" s="20" t="e">
        <f>+(final_results!G48-Raw_Financials!G48)/Raw_Financials!G48</f>
        <v>#DIV/0!</v>
      </c>
      <c r="H48" s="20" t="e">
        <f>+(final_results!H48-Raw_Financials!H48)/Raw_Financials!H48</f>
        <v>#DIV/0!</v>
      </c>
      <c r="I48" s="20" t="e">
        <f>+(final_results!I48-Raw_Financials!I48)/Raw_Financials!I48</f>
        <v>#DIV/0!</v>
      </c>
      <c r="J48" s="20" t="e">
        <f>+(final_results!J48-Raw_Financials!J48)/Raw_Financials!J48</f>
        <v>#DIV/0!</v>
      </c>
      <c r="K48" s="20" t="e">
        <f>+(final_results!K48-Raw_Financials!K48)/Raw_Financials!K48</f>
        <v>#DIV/0!</v>
      </c>
    </row>
    <row r="49" spans="1:11">
      <c r="A49" s="5" t="s">
        <v>47</v>
      </c>
      <c r="B49" s="20" t="e">
        <f>+(final_results!B49-Raw_Financials!B49)/Raw_Financials!B49</f>
        <v>#DIV/0!</v>
      </c>
      <c r="C49" s="20" t="e">
        <f>+(final_results!C49-Raw_Financials!C49)/Raw_Financials!C49</f>
        <v>#DIV/0!</v>
      </c>
      <c r="D49" s="20" t="e">
        <f>+(final_results!D49-Raw_Financials!D49)/Raw_Financials!D49</f>
        <v>#DIV/0!</v>
      </c>
      <c r="E49" s="20" t="e">
        <f>+(final_results!E49-Raw_Financials!E49)/Raw_Financials!E49</f>
        <v>#DIV/0!</v>
      </c>
      <c r="F49" s="20" t="e">
        <f>+(final_results!F49-Raw_Financials!F49)/Raw_Financials!F49</f>
        <v>#DIV/0!</v>
      </c>
      <c r="G49" s="20" t="e">
        <f>+(final_results!G49-Raw_Financials!G49)/Raw_Financials!G49</f>
        <v>#DIV/0!</v>
      </c>
      <c r="H49" s="20" t="e">
        <f>+(final_results!H49-Raw_Financials!H49)/Raw_Financials!H49</f>
        <v>#DIV/0!</v>
      </c>
      <c r="I49" s="20" t="e">
        <f>+(final_results!I49-Raw_Financials!I49)/Raw_Financials!I49</f>
        <v>#DIV/0!</v>
      </c>
      <c r="J49" s="20" t="e">
        <f>+(final_results!J49-Raw_Financials!J49)/Raw_Financials!J49</f>
        <v>#DIV/0!</v>
      </c>
      <c r="K49" s="20" t="e">
        <f>+(final_results!K49-Raw_Financials!K49)/Raw_Financials!K49</f>
        <v>#DIV/0!</v>
      </c>
    </row>
    <row r="50" spans="1:11">
      <c r="A50" s="6" t="s">
        <v>48</v>
      </c>
      <c r="B50" s="20" t="e">
        <f>+(final_results!B50-Raw_Financials!B50)/Raw_Financials!B50</f>
        <v>#DIV/0!</v>
      </c>
      <c r="C50" s="20" t="e">
        <f>+(final_results!C50-Raw_Financials!C50)/Raw_Financials!C50</f>
        <v>#DIV/0!</v>
      </c>
      <c r="D50" s="20" t="e">
        <f>+(final_results!D50-Raw_Financials!D50)/Raw_Financials!D50</f>
        <v>#DIV/0!</v>
      </c>
      <c r="E50" s="20" t="e">
        <f>+(final_results!E50-Raw_Financials!E50)/Raw_Financials!E50</f>
        <v>#DIV/0!</v>
      </c>
      <c r="F50" s="20" t="e">
        <f>+(final_results!F50-Raw_Financials!F50)/Raw_Financials!F50</f>
        <v>#DIV/0!</v>
      </c>
      <c r="G50" s="20" t="e">
        <f>+(final_results!G50-Raw_Financials!G50)/Raw_Financials!G50</f>
        <v>#DIV/0!</v>
      </c>
      <c r="H50" s="20" t="e">
        <f>+(final_results!H50-Raw_Financials!H50)/Raw_Financials!H50</f>
        <v>#DIV/0!</v>
      </c>
      <c r="I50" s="20" t="e">
        <f>+(final_results!I50-Raw_Financials!I50)/Raw_Financials!I50</f>
        <v>#DIV/0!</v>
      </c>
      <c r="J50" s="20" t="e">
        <f>+(final_results!J50-Raw_Financials!J50)/Raw_Financials!J50</f>
        <v>#DIV/0!</v>
      </c>
      <c r="K50" s="20" t="e">
        <f>+(final_results!K50-Raw_Financials!K50)/Raw_Financials!K50</f>
        <v>#DIV/0!</v>
      </c>
    </row>
    <row r="51" spans="1:11">
      <c r="A51" s="5" t="s">
        <v>49</v>
      </c>
      <c r="B51" s="20">
        <f>+(final_results!B51-Raw_Financials!B51)/Raw_Financials!B51</f>
        <v>0</v>
      </c>
      <c r="C51" s="20">
        <f>+(final_results!C51-Raw_Financials!C51)/Raw_Financials!C51</f>
        <v>0</v>
      </c>
      <c r="D51" s="20">
        <f>+(final_results!D51-Raw_Financials!D51)/Raw_Financials!D51</f>
        <v>0</v>
      </c>
      <c r="E51" s="20">
        <f>+(final_results!E51-Raw_Financials!E51)/Raw_Financials!E51</f>
        <v>0</v>
      </c>
      <c r="F51" s="20">
        <f>+(final_results!F51-Raw_Financials!F51)/Raw_Financials!F51</f>
        <v>0</v>
      </c>
      <c r="G51" s="20">
        <f>+(final_results!G51-Raw_Financials!G51)/Raw_Financials!G51</f>
        <v>0</v>
      </c>
      <c r="H51" s="20">
        <f>+(final_results!H51-Raw_Financials!H51)/Raw_Financials!H51</f>
        <v>0</v>
      </c>
      <c r="I51" s="20">
        <f>+(final_results!I51-Raw_Financials!I51)/Raw_Financials!I51</f>
        <v>0</v>
      </c>
      <c r="J51" s="20">
        <f>+(final_results!J51-Raw_Financials!J51)/Raw_Financials!J51</f>
        <v>0</v>
      </c>
      <c r="K51" s="20">
        <f>+(final_results!K51-Raw_Financials!K51)/Raw_Financials!K51</f>
        <v>0</v>
      </c>
    </row>
    <row r="52" spans="1:11">
      <c r="A52" s="6" t="s">
        <v>50</v>
      </c>
      <c r="B52" s="20">
        <f>+(final_results!B52-Raw_Financials!B52)/Raw_Financials!B52</f>
        <v>1.2521504232732658E-16</v>
      </c>
      <c r="C52" s="20">
        <f>+(final_results!C52-Raw_Financials!C52)/Raw_Financials!C52</f>
        <v>1.209167526547236E-16</v>
      </c>
      <c r="D52" s="20">
        <f>+(final_results!D52-Raw_Financials!D52)/Raw_Financials!D52</f>
        <v>0</v>
      </c>
      <c r="E52" s="20">
        <f>+(final_results!E52-Raw_Financials!E52)/Raw_Financials!E52</f>
        <v>0</v>
      </c>
      <c r="F52" s="20">
        <f>+(final_results!F52-Raw_Financials!F52)/Raw_Financials!F52</f>
        <v>0</v>
      </c>
      <c r="G52" s="20" t="e">
        <f>+(final_results!G52-Raw_Financials!G52)/Raw_Financials!G52</f>
        <v>#DIV/0!</v>
      </c>
      <c r="H52" s="20" t="e">
        <f>+(final_results!H52-Raw_Financials!H52)/Raw_Financials!H52</f>
        <v>#DIV/0!</v>
      </c>
      <c r="I52" s="20">
        <f>+(final_results!I52-Raw_Financials!I52)/Raw_Financials!I52</f>
        <v>0</v>
      </c>
      <c r="J52" s="20">
        <f>+(final_results!J52-Raw_Financials!J52)/Raw_Financials!J52</f>
        <v>-0.11345024956314242</v>
      </c>
      <c r="K52" s="20">
        <f>+(final_results!K52-Raw_Financials!K52)/Raw_Financials!K52</f>
        <v>-1.7212969020236018E-16</v>
      </c>
    </row>
    <row r="53" spans="1:11">
      <c r="A53" s="5" t="s">
        <v>51</v>
      </c>
      <c r="B53" s="20">
        <f>+(final_results!B53-Raw_Financials!B53)/Raw_Financials!B53</f>
        <v>0</v>
      </c>
      <c r="C53" s="20">
        <f>+(final_results!C53-Raw_Financials!C53)/Raw_Financials!C53</f>
        <v>0</v>
      </c>
      <c r="D53" s="20">
        <f>+(final_results!D53-Raw_Financials!D53)/Raw_Financials!D53</f>
        <v>0</v>
      </c>
      <c r="E53" s="20">
        <f>+(final_results!E53-Raw_Financials!E53)/Raw_Financials!E53</f>
        <v>0</v>
      </c>
      <c r="F53" s="20">
        <f>+(final_results!F53-Raw_Financials!F53)/Raw_Financials!F53</f>
        <v>1.4735702445839954E-16</v>
      </c>
      <c r="G53" s="20">
        <f>+(final_results!G53-Raw_Financials!G53)/Raw_Financials!G53</f>
        <v>0</v>
      </c>
      <c r="H53" s="20">
        <f>+(final_results!H53-Raw_Financials!H53)/Raw_Financials!H53</f>
        <v>0</v>
      </c>
      <c r="I53" s="20">
        <f>+(final_results!I53-Raw_Financials!I53)/Raw_Financials!I53</f>
        <v>0</v>
      </c>
      <c r="J53" s="20">
        <f>+(final_results!J53-Raw_Financials!J53)/Raw_Financials!J53</f>
        <v>-0.15713355575173124</v>
      </c>
      <c r="K53" s="20">
        <f>+(final_results!K53-Raw_Financials!K53)/Raw_Financials!K53</f>
        <v>0</v>
      </c>
    </row>
    <row r="54" spans="1:11">
      <c r="A54" s="6" t="s">
        <v>52</v>
      </c>
      <c r="B54" s="20" t="e">
        <f>+(final_results!B54-Raw_Financials!B54)/Raw_Financials!B54</f>
        <v>#DIV/0!</v>
      </c>
      <c r="C54" s="20" t="e">
        <f>+(final_results!C54-Raw_Financials!C54)/Raw_Financials!C54</f>
        <v>#DIV/0!</v>
      </c>
      <c r="D54" s="20" t="e">
        <f>+(final_results!D54-Raw_Financials!D54)/Raw_Financials!D54</f>
        <v>#DIV/0!</v>
      </c>
      <c r="E54" s="20" t="e">
        <f>+(final_results!E54-Raw_Financials!E54)/Raw_Financials!E54</f>
        <v>#DIV/0!</v>
      </c>
      <c r="F54" s="20" t="e">
        <f>+(final_results!F54-Raw_Financials!F54)/Raw_Financials!F54</f>
        <v>#DIV/0!</v>
      </c>
      <c r="G54" s="20" t="e">
        <f>+(final_results!G54-Raw_Financials!G54)/Raw_Financials!G54</f>
        <v>#DIV/0!</v>
      </c>
      <c r="H54" s="20" t="e">
        <f>+(final_results!H54-Raw_Financials!H54)/Raw_Financials!H54</f>
        <v>#DIV/0!</v>
      </c>
      <c r="I54" s="20" t="e">
        <f>+(final_results!I54-Raw_Financials!I54)/Raw_Financials!I54</f>
        <v>#DIV/0!</v>
      </c>
      <c r="J54" s="20" t="e">
        <f>+(final_results!J54-Raw_Financials!J54)/Raw_Financials!J54</f>
        <v>#DIV/0!</v>
      </c>
      <c r="K54" s="20" t="e">
        <f>+(final_results!K54-Raw_Financials!K54)/Raw_Financials!K54</f>
        <v>#DIV/0!</v>
      </c>
    </row>
    <row r="55" spans="1:11">
      <c r="A55" s="5" t="s">
        <v>53</v>
      </c>
      <c r="B55" s="20">
        <f>+(final_results!B55-Raw_Financials!B55)/Raw_Financials!B55</f>
        <v>0</v>
      </c>
      <c r="C55" s="20">
        <f>+(final_results!C55-Raw_Financials!C55)/Raw_Financials!C55</f>
        <v>0</v>
      </c>
      <c r="D55" s="20">
        <f>+(final_results!D55-Raw_Financials!D55)/Raw_Financials!D55</f>
        <v>0</v>
      </c>
      <c r="E55" s="20">
        <f>+(final_results!E55-Raw_Financials!E55)/Raw_Financials!E55</f>
        <v>0</v>
      </c>
      <c r="F55" s="20">
        <f>+(final_results!F55-Raw_Financials!F55)/Raw_Financials!F55</f>
        <v>0</v>
      </c>
      <c r="G55" s="20">
        <f>+(final_results!G55-Raw_Financials!G55)/Raw_Financials!G55</f>
        <v>0</v>
      </c>
      <c r="H55" s="20">
        <f>+(final_results!H55-Raw_Financials!H55)/Raw_Financials!H55</f>
        <v>1.2619403719612466E-16</v>
      </c>
      <c r="I55" s="20">
        <f>+(final_results!I55-Raw_Financials!I55)/Raw_Financials!I55</f>
        <v>-4.5593688485971062E-2</v>
      </c>
      <c r="J55" s="20">
        <f>+(final_results!J55-Raw_Financials!J55)/Raw_Financials!J55</f>
        <v>0</v>
      </c>
      <c r="K55" s="20">
        <f>+(final_results!K55-Raw_Financials!K55)/Raw_Financials!K55</f>
        <v>0</v>
      </c>
    </row>
    <row r="56" spans="1:11">
      <c r="A56" s="7" t="s">
        <v>54</v>
      </c>
      <c r="B56" s="20">
        <f>+(final_results!B56-Raw_Financials!B56)/Raw_Financials!B56</f>
        <v>0</v>
      </c>
      <c r="C56" s="20">
        <f>+(final_results!C56-Raw_Financials!C56)/Raw_Financials!C56</f>
        <v>0</v>
      </c>
      <c r="D56" s="20">
        <f>+(final_results!D56-Raw_Financials!D56)/Raw_Financials!D56</f>
        <v>0</v>
      </c>
      <c r="E56" s="20">
        <f>+(final_results!E56-Raw_Financials!E56)/Raw_Financials!E56</f>
        <v>0</v>
      </c>
      <c r="F56" s="20">
        <f>+(final_results!F56-Raw_Financials!F56)/Raw_Financials!F56</f>
        <v>0</v>
      </c>
      <c r="G56" s="20">
        <f>+(final_results!G56-Raw_Financials!G56)/Raw_Financials!G56</f>
        <v>0</v>
      </c>
      <c r="H56" s="20">
        <f>+(final_results!H56-Raw_Financials!H56)/Raw_Financials!H56</f>
        <v>0</v>
      </c>
      <c r="I56" s="20">
        <f>+(final_results!I56-Raw_Financials!I56)/Raw_Financials!I56</f>
        <v>0</v>
      </c>
      <c r="J56" s="20">
        <f>+(final_results!J56-Raw_Financials!J56)/Raw_Financials!J56</f>
        <v>0</v>
      </c>
      <c r="K56" s="20">
        <f>+(final_results!K56-Raw_Financials!K56)/Raw_Financials!K56</f>
        <v>0</v>
      </c>
    </row>
    <row r="57" spans="1:11">
      <c r="A57" s="5" t="s">
        <v>55</v>
      </c>
      <c r="B57" s="20" t="e">
        <f>+(final_results!B57-Raw_Financials!B57)/Raw_Financials!B57</f>
        <v>#DIV/0!</v>
      </c>
      <c r="C57" s="20" t="e">
        <f>+(final_results!C57-Raw_Financials!C57)/Raw_Financials!C57</f>
        <v>#DIV/0!</v>
      </c>
      <c r="D57" s="20" t="e">
        <f>+(final_results!D57-Raw_Financials!D57)/Raw_Financials!D57</f>
        <v>#DIV/0!</v>
      </c>
      <c r="E57" s="20" t="e">
        <f>+(final_results!E57-Raw_Financials!E57)/Raw_Financials!E57</f>
        <v>#DIV/0!</v>
      </c>
      <c r="F57" s="20" t="e">
        <f>+(final_results!F57-Raw_Financials!F57)/Raw_Financials!F57</f>
        <v>#DIV/0!</v>
      </c>
      <c r="G57" s="20" t="e">
        <f>+(final_results!G57-Raw_Financials!G57)/Raw_Financials!G57</f>
        <v>#DIV/0!</v>
      </c>
      <c r="H57" s="20" t="e">
        <f>+(final_results!H57-Raw_Financials!H57)/Raw_Financials!H57</f>
        <v>#DIV/0!</v>
      </c>
      <c r="I57" s="20" t="e">
        <f>+(final_results!I57-Raw_Financials!I57)/Raw_Financials!I57</f>
        <v>#DIV/0!</v>
      </c>
      <c r="J57" s="20" t="e">
        <f>+(final_results!J57-Raw_Financials!J57)/Raw_Financials!J57</f>
        <v>#DIV/0!</v>
      </c>
      <c r="K57" s="20" t="e">
        <f>+(final_results!K57-Raw_Financials!K57)/Raw_Financials!K57</f>
        <v>#DIV/0!</v>
      </c>
    </row>
    <row r="58" spans="1:11">
      <c r="A58" s="6" t="s">
        <v>56</v>
      </c>
      <c r="B58" s="20" t="e">
        <f>+(final_results!B58-Raw_Financials!B58)/Raw_Financials!B58</f>
        <v>#DIV/0!</v>
      </c>
      <c r="C58" s="20" t="e">
        <f>+(final_results!C58-Raw_Financials!C58)/Raw_Financials!C58</f>
        <v>#DIV/0!</v>
      </c>
      <c r="D58" s="20" t="e">
        <f>+(final_results!D58-Raw_Financials!D58)/Raw_Financials!D58</f>
        <v>#DIV/0!</v>
      </c>
      <c r="E58" s="20" t="e">
        <f>+(final_results!E58-Raw_Financials!E58)/Raw_Financials!E58</f>
        <v>#DIV/0!</v>
      </c>
      <c r="F58" s="20" t="e">
        <f>+(final_results!F58-Raw_Financials!F58)/Raw_Financials!F58</f>
        <v>#DIV/0!</v>
      </c>
      <c r="G58" s="20" t="e">
        <f>+(final_results!G58-Raw_Financials!G58)/Raw_Financials!G58</f>
        <v>#DIV/0!</v>
      </c>
      <c r="H58" s="20" t="e">
        <f>+(final_results!H58-Raw_Financials!H58)/Raw_Financials!H58</f>
        <v>#DIV/0!</v>
      </c>
      <c r="I58" s="20">
        <f>+(final_results!I58-Raw_Financials!I58)/Raw_Financials!I58</f>
        <v>-1</v>
      </c>
      <c r="J58" s="20">
        <f>+(final_results!J58-Raw_Financials!J58)/Raw_Financials!J58</f>
        <v>-1</v>
      </c>
      <c r="K58" s="20" t="e">
        <f>+(final_results!K58-Raw_Financials!K58)/Raw_Financials!K58</f>
        <v>#DIV/0!</v>
      </c>
    </row>
    <row r="59" spans="1:11">
      <c r="A59" s="5" t="s">
        <v>57</v>
      </c>
      <c r="B59" s="20" t="e">
        <f>+(final_results!B59-Raw_Financials!B59)/Raw_Financials!B59</f>
        <v>#DIV/0!</v>
      </c>
      <c r="C59" s="20" t="e">
        <f>+(final_results!C59-Raw_Financials!C59)/Raw_Financials!C59</f>
        <v>#DIV/0!</v>
      </c>
      <c r="D59" s="20">
        <f>+(final_results!D59-Raw_Financials!D59)/Raw_Financials!D59</f>
        <v>-1</v>
      </c>
      <c r="E59" s="20" t="e">
        <f>+(final_results!E59-Raw_Financials!E59)/Raw_Financials!E59</f>
        <v>#DIV/0!</v>
      </c>
      <c r="F59" s="20" t="e">
        <f>+(final_results!F59-Raw_Financials!F59)/Raw_Financials!F59</f>
        <v>#DIV/0!</v>
      </c>
      <c r="G59" s="20" t="e">
        <f>+(final_results!G59-Raw_Financials!G59)/Raw_Financials!G59</f>
        <v>#DIV/0!</v>
      </c>
      <c r="H59" s="20" t="e">
        <f>+(final_results!H59-Raw_Financials!H59)/Raw_Financials!H59</f>
        <v>#DIV/0!</v>
      </c>
      <c r="I59" s="20" t="e">
        <f>+(final_results!I59-Raw_Financials!I59)/Raw_Financials!I59</f>
        <v>#DIV/0!</v>
      </c>
      <c r="J59" s="20" t="e">
        <f>+(final_results!J59-Raw_Financials!J59)/Raw_Financials!J59</f>
        <v>#DIV/0!</v>
      </c>
      <c r="K59" s="20" t="e">
        <f>+(final_results!K59-Raw_Financials!K59)/Raw_Financials!K59</f>
        <v>#DIV/0!</v>
      </c>
    </row>
    <row r="60" spans="1:11">
      <c r="A60" s="6" t="s">
        <v>58</v>
      </c>
      <c r="B60" s="20" t="e">
        <f>+(final_results!B60-Raw_Financials!B60)/Raw_Financials!B60</f>
        <v>#DIV/0!</v>
      </c>
      <c r="C60" s="20" t="e">
        <f>+(final_results!C60-Raw_Financials!C60)/Raw_Financials!C60</f>
        <v>#DIV/0!</v>
      </c>
      <c r="D60" s="20" t="e">
        <f>+(final_results!D60-Raw_Financials!D60)/Raw_Financials!D60</f>
        <v>#DIV/0!</v>
      </c>
      <c r="E60" s="20" t="e">
        <f>+(final_results!E60-Raw_Financials!E60)/Raw_Financials!E60</f>
        <v>#DIV/0!</v>
      </c>
      <c r="F60" s="20" t="e">
        <f>+(final_results!F60-Raw_Financials!F60)/Raw_Financials!F60</f>
        <v>#DIV/0!</v>
      </c>
      <c r="G60" s="20" t="e">
        <f>+(final_results!G60-Raw_Financials!G60)/Raw_Financials!G60</f>
        <v>#DIV/0!</v>
      </c>
      <c r="H60" s="20" t="e">
        <f>+(final_results!H60-Raw_Financials!H60)/Raw_Financials!H60</f>
        <v>#DIV/0!</v>
      </c>
      <c r="I60" s="20" t="e">
        <f>+(final_results!I60-Raw_Financials!I60)/Raw_Financials!I60</f>
        <v>#DIV/0!</v>
      </c>
      <c r="J60" s="20" t="e">
        <f>+(final_results!J60-Raw_Financials!J60)/Raw_Financials!J60</f>
        <v>#DIV/0!</v>
      </c>
      <c r="K60" s="20" t="e">
        <f>+(final_results!K60-Raw_Financials!K60)/Raw_Financials!K60</f>
        <v>#DIV/0!</v>
      </c>
    </row>
    <row r="61" spans="1:11">
      <c r="A61" s="5" t="s">
        <v>59</v>
      </c>
      <c r="B61" s="20" t="e">
        <f>+(final_results!B61-Raw_Financials!B61)/Raw_Financials!B61</f>
        <v>#DIV/0!</v>
      </c>
      <c r="C61" s="20" t="e">
        <f>+(final_results!C61-Raw_Financials!C61)/Raw_Financials!C61</f>
        <v>#DIV/0!</v>
      </c>
      <c r="D61" s="20" t="e">
        <f>+(final_results!D61-Raw_Financials!D61)/Raw_Financials!D61</f>
        <v>#DIV/0!</v>
      </c>
      <c r="E61" s="20" t="e">
        <f>+(final_results!E61-Raw_Financials!E61)/Raw_Financials!E61</f>
        <v>#DIV/0!</v>
      </c>
      <c r="F61" s="20" t="e">
        <f>+(final_results!F61-Raw_Financials!F61)/Raw_Financials!F61</f>
        <v>#DIV/0!</v>
      </c>
      <c r="G61" s="20" t="e">
        <f>+(final_results!G61-Raw_Financials!G61)/Raw_Financials!G61</f>
        <v>#DIV/0!</v>
      </c>
      <c r="H61" s="20" t="e">
        <f>+(final_results!H61-Raw_Financials!H61)/Raw_Financials!H61</f>
        <v>#DIV/0!</v>
      </c>
      <c r="I61" s="20" t="e">
        <f>+(final_results!I61-Raw_Financials!I61)/Raw_Financials!I61</f>
        <v>#DIV/0!</v>
      </c>
      <c r="J61" s="20" t="e">
        <f>+(final_results!J61-Raw_Financials!J61)/Raw_Financials!J61</f>
        <v>#DIV/0!</v>
      </c>
      <c r="K61" s="20" t="e">
        <f>+(final_results!K61-Raw_Financials!K61)/Raw_Financials!K61</f>
        <v>#DIV/0!</v>
      </c>
    </row>
    <row r="62" spans="1:11">
      <c r="A62" s="6" t="s">
        <v>60</v>
      </c>
      <c r="B62" s="20" t="e">
        <f>+(final_results!B62-Raw_Financials!B62)/Raw_Financials!B62</f>
        <v>#DIV/0!</v>
      </c>
      <c r="C62" s="20" t="e">
        <f>+(final_results!C62-Raw_Financials!C62)/Raw_Financials!C62</f>
        <v>#DIV/0!</v>
      </c>
      <c r="D62" s="20" t="e">
        <f>+(final_results!D62-Raw_Financials!D62)/Raw_Financials!D62</f>
        <v>#DIV/0!</v>
      </c>
      <c r="E62" s="20" t="e">
        <f>+(final_results!E62-Raw_Financials!E62)/Raw_Financials!E62</f>
        <v>#DIV/0!</v>
      </c>
      <c r="F62" s="20" t="e">
        <f>+(final_results!F62-Raw_Financials!F62)/Raw_Financials!F62</f>
        <v>#DIV/0!</v>
      </c>
      <c r="G62" s="20" t="e">
        <f>+(final_results!G62-Raw_Financials!G62)/Raw_Financials!G62</f>
        <v>#DIV/0!</v>
      </c>
      <c r="H62" s="20" t="e">
        <f>+(final_results!H62-Raw_Financials!H62)/Raw_Financials!H62</f>
        <v>#DIV/0!</v>
      </c>
      <c r="I62" s="20" t="e">
        <f>+(final_results!I62-Raw_Financials!I62)/Raw_Financials!I62</f>
        <v>#DIV/0!</v>
      </c>
      <c r="J62" s="20" t="e">
        <f>+(final_results!J62-Raw_Financials!J62)/Raw_Financials!J62</f>
        <v>#DIV/0!</v>
      </c>
      <c r="K62" s="20" t="e">
        <f>+(final_results!K62-Raw_Financials!K62)/Raw_Financials!K62</f>
        <v>#DIV/0!</v>
      </c>
    </row>
    <row r="63" spans="1:11">
      <c r="A63" s="5" t="s">
        <v>61</v>
      </c>
      <c r="B63" s="20" t="e">
        <f>+(final_results!B63-Raw_Financials!B63)/Raw_Financials!B63</f>
        <v>#DIV/0!</v>
      </c>
      <c r="C63" s="20" t="e">
        <f>+(final_results!C63-Raw_Financials!C63)/Raw_Financials!C63</f>
        <v>#DIV/0!</v>
      </c>
      <c r="D63" s="20" t="e">
        <f>+(final_results!D63-Raw_Financials!D63)/Raw_Financials!D63</f>
        <v>#DIV/0!</v>
      </c>
      <c r="E63" s="20" t="e">
        <f>+(final_results!E63-Raw_Financials!E63)/Raw_Financials!E63</f>
        <v>#DIV/0!</v>
      </c>
      <c r="F63" s="20" t="e">
        <f>+(final_results!F63-Raw_Financials!F63)/Raw_Financials!F63</f>
        <v>#DIV/0!</v>
      </c>
      <c r="G63" s="20" t="e">
        <f>+(final_results!G63-Raw_Financials!G63)/Raw_Financials!G63</f>
        <v>#DIV/0!</v>
      </c>
      <c r="H63" s="20" t="e">
        <f>+(final_results!H63-Raw_Financials!H63)/Raw_Financials!H63</f>
        <v>#DIV/0!</v>
      </c>
      <c r="I63" s="20" t="e">
        <f>+(final_results!I63-Raw_Financials!I63)/Raw_Financials!I63</f>
        <v>#DIV/0!</v>
      </c>
      <c r="J63" s="20" t="e">
        <f>+(final_results!J63-Raw_Financials!J63)/Raw_Financials!J63</f>
        <v>#DIV/0!</v>
      </c>
      <c r="K63" s="20" t="e">
        <f>+(final_results!K63-Raw_Financials!K63)/Raw_Financials!K63</f>
        <v>#DIV/0!</v>
      </c>
    </row>
    <row r="64" spans="1:11">
      <c r="A64" s="6" t="s">
        <v>62</v>
      </c>
      <c r="B64" s="20">
        <f>+(final_results!B64-Raw_Financials!B64)/Raw_Financials!B64</f>
        <v>-1</v>
      </c>
      <c r="C64" s="20" t="e">
        <f>+(final_results!C64-Raw_Financials!C64)/Raw_Financials!C64</f>
        <v>#DIV/0!</v>
      </c>
      <c r="D64" s="20" t="e">
        <f>+(final_results!D64-Raw_Financials!D64)/Raw_Financials!D64</f>
        <v>#DIV/0!</v>
      </c>
      <c r="E64" s="20" t="e">
        <f>+(final_results!E64-Raw_Financials!E64)/Raw_Financials!E64</f>
        <v>#DIV/0!</v>
      </c>
      <c r="F64" s="20" t="e">
        <f>+(final_results!F64-Raw_Financials!F64)/Raw_Financials!F64</f>
        <v>#DIV/0!</v>
      </c>
      <c r="G64" s="20" t="e">
        <f>+(final_results!G64-Raw_Financials!G64)/Raw_Financials!G64</f>
        <v>#DIV/0!</v>
      </c>
      <c r="H64" s="20" t="e">
        <f>+(final_results!H64-Raw_Financials!H64)/Raw_Financials!H64</f>
        <v>#DIV/0!</v>
      </c>
      <c r="I64" s="20" t="e">
        <f>+(final_results!I64-Raw_Financials!I64)/Raw_Financials!I64</f>
        <v>#DIV/0!</v>
      </c>
      <c r="J64" s="20" t="e">
        <f>+(final_results!J64-Raw_Financials!J64)/Raw_Financials!J64</f>
        <v>#DIV/0!</v>
      </c>
      <c r="K64" s="20" t="e">
        <f>+(final_results!K64-Raw_Financials!K64)/Raw_Financials!K64</f>
        <v>#DIV/0!</v>
      </c>
    </row>
    <row r="65" spans="1:11">
      <c r="A65" s="5" t="s">
        <v>63</v>
      </c>
      <c r="B65" s="20">
        <f>+(final_results!B65-Raw_Financials!B65)/Raw_Financials!B65</f>
        <v>0</v>
      </c>
      <c r="C65" s="20">
        <f>+(final_results!C65-Raw_Financials!C65)/Raw_Financials!C65</f>
        <v>0</v>
      </c>
      <c r="D65" s="20">
        <f>+(final_results!D65-Raw_Financials!D65)/Raw_Financials!D65</f>
        <v>0</v>
      </c>
      <c r="E65" s="20">
        <f>+(final_results!E65-Raw_Financials!E65)/Raw_Financials!E65</f>
        <v>0</v>
      </c>
      <c r="F65" s="20">
        <f>+(final_results!F65-Raw_Financials!F65)/Raw_Financials!F65</f>
        <v>0</v>
      </c>
      <c r="G65" s="20">
        <f>+(final_results!G65-Raw_Financials!G65)/Raw_Financials!G65</f>
        <v>0</v>
      </c>
      <c r="H65" s="20">
        <f>+(final_results!H65-Raw_Financials!H65)/Raw_Financials!H65</f>
        <v>0</v>
      </c>
      <c r="I65" s="20">
        <f>+(final_results!I65-Raw_Financials!I65)/Raw_Financials!I65</f>
        <v>0</v>
      </c>
      <c r="J65" s="20">
        <f>+(final_results!J65-Raw_Financials!J65)/Raw_Financials!J65</f>
        <v>0</v>
      </c>
      <c r="K65" s="20">
        <f>+(final_results!K65-Raw_Financials!K65)/Raw_Financials!K65</f>
        <v>0</v>
      </c>
    </row>
    <row r="66" spans="1:11">
      <c r="A66" s="6" t="s">
        <v>64</v>
      </c>
      <c r="B66" s="20" t="e">
        <f>+(final_results!B66-Raw_Financials!B66)/Raw_Financials!B66</f>
        <v>#DIV/0!</v>
      </c>
      <c r="C66" s="20" t="e">
        <f>+(final_results!C66-Raw_Financials!C66)/Raw_Financials!C66</f>
        <v>#DIV/0!</v>
      </c>
      <c r="D66" s="20" t="e">
        <f>+(final_results!D66-Raw_Financials!D66)/Raw_Financials!D66</f>
        <v>#DIV/0!</v>
      </c>
      <c r="E66" s="20" t="e">
        <f>+(final_results!E66-Raw_Financials!E66)/Raw_Financials!E66</f>
        <v>#DIV/0!</v>
      </c>
      <c r="F66" s="20" t="e">
        <f>+(final_results!F66-Raw_Financials!F66)/Raw_Financials!F66</f>
        <v>#DIV/0!</v>
      </c>
      <c r="G66" s="20" t="e">
        <f>+(final_results!G66-Raw_Financials!G66)/Raw_Financials!G66</f>
        <v>#DIV/0!</v>
      </c>
      <c r="H66" s="20" t="e">
        <f>+(final_results!H66-Raw_Financials!H66)/Raw_Financials!H66</f>
        <v>#DIV/0!</v>
      </c>
      <c r="I66" s="20" t="e">
        <f>+(final_results!I66-Raw_Financials!I66)/Raw_Financials!I66</f>
        <v>#DIV/0!</v>
      </c>
      <c r="J66" s="20" t="e">
        <f>+(final_results!J66-Raw_Financials!J66)/Raw_Financials!J66</f>
        <v>#DIV/0!</v>
      </c>
      <c r="K66" s="20" t="e">
        <f>+(final_results!K66-Raw_Financials!K66)/Raw_Financials!K66</f>
        <v>#DIV/0!</v>
      </c>
    </row>
    <row r="67" spans="1:11">
      <c r="A67" s="5" t="s">
        <v>65</v>
      </c>
      <c r="B67" s="20">
        <f>+(final_results!B67-Raw_Financials!B67)/Raw_Financials!B67</f>
        <v>0</v>
      </c>
      <c r="C67" s="20">
        <f>+(final_results!C67-Raw_Financials!C67)/Raw_Financials!C67</f>
        <v>0</v>
      </c>
      <c r="D67" s="20">
        <f>+(final_results!D67-Raw_Financials!D67)/Raw_Financials!D67</f>
        <v>0</v>
      </c>
      <c r="E67" s="20">
        <f>+(final_results!E67-Raw_Financials!E67)/Raw_Financials!E67</f>
        <v>0</v>
      </c>
      <c r="F67" s="20">
        <f>+(final_results!F67-Raw_Financials!F67)/Raw_Financials!F67</f>
        <v>1.221805057580909E-16</v>
      </c>
      <c r="G67" s="20">
        <f>+(final_results!G67-Raw_Financials!G67)/Raw_Financials!G67</f>
        <v>0</v>
      </c>
      <c r="H67" s="20">
        <f>+(final_results!H67-Raw_Financials!H67)/Raw_Financials!H67</f>
        <v>0</v>
      </c>
      <c r="I67" s="20">
        <f>+(final_results!I67-Raw_Financials!I67)/Raw_Financials!I67</f>
        <v>0</v>
      </c>
      <c r="J67" s="20">
        <f>+(final_results!J67-Raw_Financials!J67)/Raw_Financials!J67</f>
        <v>0</v>
      </c>
      <c r="K67" s="20">
        <f>+(final_results!K67-Raw_Financials!K67)/Raw_Financials!K67</f>
        <v>0</v>
      </c>
    </row>
    <row r="68" spans="1:11">
      <c r="A68" s="6" t="s">
        <v>66</v>
      </c>
      <c r="B68" s="20" t="e">
        <f>+(final_results!B68-Raw_Financials!B68)/Raw_Financials!B68</f>
        <v>#DIV/0!</v>
      </c>
      <c r="C68" s="20" t="e">
        <f>+(final_results!C68-Raw_Financials!C68)/Raw_Financials!C68</f>
        <v>#DIV/0!</v>
      </c>
      <c r="D68" s="20">
        <f>+(final_results!D68-Raw_Financials!D68)/Raw_Financials!D68</f>
        <v>0</v>
      </c>
      <c r="E68" s="20" t="e">
        <f>+(final_results!E68-Raw_Financials!E68)/Raw_Financials!E68</f>
        <v>#DIV/0!</v>
      </c>
      <c r="F68" s="20" t="e">
        <f>+(final_results!F68-Raw_Financials!F68)/Raw_Financials!F68</f>
        <v>#DIV/0!</v>
      </c>
      <c r="G68" s="20">
        <f>+(final_results!G68-Raw_Financials!G68)/Raw_Financials!G68</f>
        <v>0</v>
      </c>
      <c r="H68" s="20" t="e">
        <f>+(final_results!H68-Raw_Financials!H68)/Raw_Financials!H68</f>
        <v>#DIV/0!</v>
      </c>
      <c r="I68" s="20">
        <f>+(final_results!I68-Raw_Financials!I68)/Raw_Financials!I68</f>
        <v>0</v>
      </c>
      <c r="J68" s="20">
        <f>+(final_results!J68-Raw_Financials!J68)/Raw_Financials!J68</f>
        <v>0</v>
      </c>
      <c r="K68" s="20">
        <f>+(final_results!K68-Raw_Financials!K68)/Raw_Financials!K68</f>
        <v>0</v>
      </c>
    </row>
    <row r="69" spans="1:11">
      <c r="A69" s="5" t="s">
        <v>67</v>
      </c>
      <c r="B69" s="20">
        <f>+(final_results!B69-Raw_Financials!B69)/Raw_Financials!B69</f>
        <v>0</v>
      </c>
      <c r="C69" s="20">
        <f>+(final_results!C69-Raw_Financials!C69)/Raw_Financials!C69</f>
        <v>0</v>
      </c>
      <c r="D69" s="20">
        <f>+(final_results!D69-Raw_Financials!D69)/Raw_Financials!D69</f>
        <v>0</v>
      </c>
      <c r="E69" s="20">
        <f>+(final_results!E69-Raw_Financials!E69)/Raw_Financials!E69</f>
        <v>0</v>
      </c>
      <c r="F69" s="20">
        <f>+(final_results!F69-Raw_Financials!F69)/Raw_Financials!F69</f>
        <v>0</v>
      </c>
      <c r="G69" s="20">
        <f>+(final_results!G69-Raw_Financials!G69)/Raw_Financials!G69</f>
        <v>0</v>
      </c>
      <c r="H69" s="20">
        <f>+(final_results!H69-Raw_Financials!H69)/Raw_Financials!H69</f>
        <v>0</v>
      </c>
      <c r="I69" s="20">
        <f>+(final_results!I69-Raw_Financials!I69)/Raw_Financials!I69</f>
        <v>0</v>
      </c>
      <c r="J69" s="20">
        <f>+(final_results!J69-Raw_Financials!J69)/Raw_Financials!J69</f>
        <v>0</v>
      </c>
      <c r="K69" s="20">
        <f>+(final_results!K69-Raw_Financials!K69)/Raw_Financials!K69</f>
        <v>-7.3391108915462924E-2</v>
      </c>
    </row>
    <row r="70" spans="1:11">
      <c r="A70" s="6" t="s">
        <v>68</v>
      </c>
      <c r="B70" s="20" t="e">
        <f>+(final_results!B70-Raw_Financials!B70)/Raw_Financials!B70</f>
        <v>#DIV/0!</v>
      </c>
      <c r="C70" s="20" t="e">
        <f>+(final_results!C70-Raw_Financials!C70)/Raw_Financials!C70</f>
        <v>#DIV/0!</v>
      </c>
      <c r="D70" s="20" t="e">
        <f>+(final_results!D70-Raw_Financials!D70)/Raw_Financials!D70</f>
        <v>#DIV/0!</v>
      </c>
      <c r="E70" s="20">
        <f>+(final_results!E70-Raw_Financials!E70)/Raw_Financials!E70</f>
        <v>0</v>
      </c>
      <c r="F70" s="20">
        <f>+(final_results!F70-Raw_Financials!F70)/Raw_Financials!F70</f>
        <v>0</v>
      </c>
      <c r="G70" s="20">
        <f>+(final_results!G70-Raw_Financials!G70)/Raw_Financials!G70</f>
        <v>0</v>
      </c>
      <c r="H70" s="20">
        <f>+(final_results!H70-Raw_Financials!H70)/Raw_Financials!H70</f>
        <v>0</v>
      </c>
      <c r="I70" s="20">
        <f>+(final_results!I70-Raw_Financials!I70)/Raw_Financials!I70</f>
        <v>0</v>
      </c>
      <c r="J70" s="20">
        <f>+(final_results!J70-Raw_Financials!J70)/Raw_Financials!J70</f>
        <v>0</v>
      </c>
      <c r="K70" s="20">
        <f>+(final_results!K70-Raw_Financials!K70)/Raw_Financials!K70</f>
        <v>0</v>
      </c>
    </row>
    <row r="71" spans="1:11">
      <c r="A71" s="7" t="s">
        <v>69</v>
      </c>
      <c r="B71" s="20">
        <f>+(final_results!B71-Raw_Financials!B71)/Raw_Financials!B71</f>
        <v>0</v>
      </c>
      <c r="C71" s="20">
        <f>+(final_results!C71-Raw_Financials!C71)/Raw_Financials!C71</f>
        <v>0</v>
      </c>
      <c r="D71" s="20">
        <f>+(final_results!D71-Raw_Financials!D71)/Raw_Financials!D71</f>
        <v>0</v>
      </c>
      <c r="E71" s="20">
        <f>+(final_results!E71-Raw_Financials!E71)/Raw_Financials!E71</f>
        <v>0</v>
      </c>
      <c r="F71" s="20">
        <f>+(final_results!F71-Raw_Financials!F71)/Raw_Financials!F71</f>
        <v>0</v>
      </c>
      <c r="G71" s="20">
        <f>+(final_results!G71-Raw_Financials!G71)/Raw_Financials!G71</f>
        <v>0</v>
      </c>
      <c r="H71" s="20">
        <f>+(final_results!H71-Raw_Financials!H71)/Raw_Financials!H71</f>
        <v>0</v>
      </c>
      <c r="I71" s="20">
        <f>+(final_results!I71-Raw_Financials!I71)/Raw_Financials!I71</f>
        <v>-1.3582559185245602E-16</v>
      </c>
      <c r="J71" s="20">
        <f>+(final_results!J71-Raw_Financials!J71)/Raw_Financials!J71</f>
        <v>0</v>
      </c>
      <c r="K71" s="20">
        <f>+(final_results!K71-Raw_Financials!K71)/Raw_Financials!K71</f>
        <v>0</v>
      </c>
    </row>
    <row r="72" spans="1:11">
      <c r="A72" s="6" t="s">
        <v>70</v>
      </c>
      <c r="B72" s="20" t="e">
        <f>+(final_results!B72-Raw_Financials!B72)/Raw_Financials!B72</f>
        <v>#DIV/0!</v>
      </c>
      <c r="C72" s="20" t="e">
        <f>+(final_results!C72-Raw_Financials!C72)/Raw_Financials!C72</f>
        <v>#DIV/0!</v>
      </c>
      <c r="D72" s="20" t="e">
        <f>+(final_results!D72-Raw_Financials!D72)/Raw_Financials!D72</f>
        <v>#DIV/0!</v>
      </c>
      <c r="E72" s="20" t="e">
        <f>+(final_results!E72-Raw_Financials!E72)/Raw_Financials!E72</f>
        <v>#DIV/0!</v>
      </c>
      <c r="F72" s="20" t="e">
        <f>+(final_results!F72-Raw_Financials!F72)/Raw_Financials!F72</f>
        <v>#DIV/0!</v>
      </c>
      <c r="G72" s="20" t="e">
        <f>+(final_results!G72-Raw_Financials!G72)/Raw_Financials!G72</f>
        <v>#DIV/0!</v>
      </c>
      <c r="H72" s="20" t="e">
        <f>+(final_results!H72-Raw_Financials!H72)/Raw_Financials!H72</f>
        <v>#DIV/0!</v>
      </c>
      <c r="I72" s="20" t="e">
        <f>+(final_results!I72-Raw_Financials!I72)/Raw_Financials!I72</f>
        <v>#DIV/0!</v>
      </c>
      <c r="J72" s="20" t="e">
        <f>+(final_results!J72-Raw_Financials!J72)/Raw_Financials!J72</f>
        <v>#DIV/0!</v>
      </c>
      <c r="K72" s="20" t="e">
        <f>+(final_results!K72-Raw_Financials!K72)/Raw_Financials!K72</f>
        <v>#DIV/0!</v>
      </c>
    </row>
    <row r="73" spans="1:11">
      <c r="A73" s="5" t="s">
        <v>71</v>
      </c>
      <c r="B73" s="20" t="e">
        <f>+(final_results!B73-Raw_Financials!B73)/Raw_Financials!B73</f>
        <v>#DIV/0!</v>
      </c>
      <c r="C73" s="20">
        <f>+(final_results!C73-Raw_Financials!C73)/Raw_Financials!C73</f>
        <v>0</v>
      </c>
      <c r="D73" s="20">
        <f>+(final_results!D73-Raw_Financials!D73)/Raw_Financials!D73</f>
        <v>-1.1348293194413297E-16</v>
      </c>
      <c r="E73" s="20">
        <f>+(final_results!E73-Raw_Financials!E73)/Raw_Financials!E73</f>
        <v>0</v>
      </c>
      <c r="F73" s="20">
        <f>+(final_results!F73-Raw_Financials!F73)/Raw_Financials!F73</f>
        <v>0</v>
      </c>
      <c r="G73" s="20">
        <f>+(final_results!G73-Raw_Financials!G73)/Raw_Financials!G73</f>
        <v>0</v>
      </c>
      <c r="H73" s="20">
        <f>+(final_results!H73-Raw_Financials!H73)/Raw_Financials!H73</f>
        <v>1.1449691051959909E-16</v>
      </c>
      <c r="I73" s="20">
        <f>+(final_results!I73-Raw_Financials!I73)/Raw_Financials!I73</f>
        <v>0</v>
      </c>
      <c r="J73" s="20">
        <f>+(final_results!J73-Raw_Financials!J73)/Raw_Financials!J73</f>
        <v>0</v>
      </c>
      <c r="K73" s="20">
        <f>+(final_results!K73-Raw_Financials!K73)/Raw_Financials!K73</f>
        <v>-9.4929740753722264E-2</v>
      </c>
    </row>
    <row r="74" spans="1:11">
      <c r="A74" s="6" t="s">
        <v>72</v>
      </c>
      <c r="B74" s="20" t="e">
        <f>+(final_results!B74-Raw_Financials!B74)/Raw_Financials!B74</f>
        <v>#DIV/0!</v>
      </c>
      <c r="C74" s="20" t="e">
        <f>+(final_results!C74-Raw_Financials!C74)/Raw_Financials!C74</f>
        <v>#DIV/0!</v>
      </c>
      <c r="D74" s="20">
        <f>+(final_results!D74-Raw_Financials!D74)/Raw_Financials!D74</f>
        <v>0</v>
      </c>
      <c r="E74" s="20" t="e">
        <f>+(final_results!E74-Raw_Financials!E74)/Raw_Financials!E74</f>
        <v>#DIV/0!</v>
      </c>
      <c r="F74" s="20" t="e">
        <f>+(final_results!F74-Raw_Financials!F74)/Raw_Financials!F74</f>
        <v>#DIV/0!</v>
      </c>
      <c r="G74" s="20" t="e">
        <f>+(final_results!G74-Raw_Financials!G74)/Raw_Financials!G74</f>
        <v>#DIV/0!</v>
      </c>
      <c r="H74" s="20" t="e">
        <f>+(final_results!H74-Raw_Financials!H74)/Raw_Financials!H74</f>
        <v>#DIV/0!</v>
      </c>
      <c r="I74" s="20">
        <f>+(final_results!I74-Raw_Financials!I74)/Raw_Financials!I74</f>
        <v>-0.47829179684725331</v>
      </c>
      <c r="J74" s="20" t="e">
        <f>+(final_results!J74-Raw_Financials!J74)/Raw_Financials!J74</f>
        <v>#DIV/0!</v>
      </c>
      <c r="K74" s="20">
        <f>+(final_results!K74-Raw_Financials!K74)/Raw_Financials!K74</f>
        <v>-0.89148530143586258</v>
      </c>
    </row>
    <row r="75" spans="1:11">
      <c r="A75" s="5" t="s">
        <v>73</v>
      </c>
      <c r="B75" s="20">
        <f>+(final_results!B75-Raw_Financials!B75)/Raw_Financials!B75</f>
        <v>-1.4657312444399541E-16</v>
      </c>
      <c r="C75" s="20">
        <f>+(final_results!C75-Raw_Financials!C75)/Raw_Financials!C75</f>
        <v>0</v>
      </c>
      <c r="D75" s="20">
        <f>+(final_results!D75-Raw_Financials!D75)/Raw_Financials!D75</f>
        <v>0</v>
      </c>
      <c r="E75" s="20">
        <f>+(final_results!E75-Raw_Financials!E75)/Raw_Financials!E75</f>
        <v>0</v>
      </c>
      <c r="F75" s="20">
        <f>+(final_results!F75-Raw_Financials!F75)/Raw_Financials!F75</f>
        <v>0</v>
      </c>
      <c r="G75" s="20">
        <f>+(final_results!G75-Raw_Financials!G75)/Raw_Financials!G75</f>
        <v>0</v>
      </c>
      <c r="H75" s="20">
        <f>+(final_results!H75-Raw_Financials!H75)/Raw_Financials!H75</f>
        <v>0</v>
      </c>
      <c r="I75" s="20">
        <f>+(final_results!I75-Raw_Financials!I75)/Raw_Financials!I75</f>
        <v>0</v>
      </c>
      <c r="J75" s="20">
        <f>+(final_results!J75-Raw_Financials!J75)/Raw_Financials!J75</f>
        <v>0</v>
      </c>
      <c r="K75" s="20">
        <f>+(final_results!K75-Raw_Financials!K75)/Raw_Financials!K75</f>
        <v>-0.23050320147503156</v>
      </c>
    </row>
    <row r="76" spans="1:11">
      <c r="A76" s="6" t="s">
        <v>75</v>
      </c>
      <c r="B76" s="20">
        <f>+(final_results!B76-Raw_Financials!B76)/Raw_Financials!B76</f>
        <v>0</v>
      </c>
      <c r="C76" s="20">
        <f>+(final_results!C76-Raw_Financials!C76)/Raw_Financials!C76</f>
        <v>0</v>
      </c>
      <c r="D76" s="20">
        <f>+(final_results!D76-Raw_Financials!D76)/Raw_Financials!D76</f>
        <v>0</v>
      </c>
      <c r="E76" s="20">
        <f>+(final_results!E76-Raw_Financials!E76)/Raw_Financials!E76</f>
        <v>0</v>
      </c>
      <c r="F76" s="20">
        <f>+(final_results!F76-Raw_Financials!F76)/Raw_Financials!F76</f>
        <v>0</v>
      </c>
      <c r="G76" s="20">
        <f>+(final_results!G76-Raw_Financials!G76)/Raw_Financials!G76</f>
        <v>0</v>
      </c>
      <c r="H76" s="20">
        <f>+(final_results!H76-Raw_Financials!H76)/Raw_Financials!H76</f>
        <v>0</v>
      </c>
      <c r="I76" s="20">
        <f>+(final_results!I76-Raw_Financials!I76)/Raw_Financials!I76</f>
        <v>0</v>
      </c>
      <c r="J76" s="20">
        <f>+(final_results!J76-Raw_Financials!J76)/Raw_Financials!J76</f>
        <v>0</v>
      </c>
      <c r="K76" s="20">
        <f>+(final_results!K76-Raw_Financials!K76)/Raw_Financials!K76</f>
        <v>0</v>
      </c>
    </row>
    <row r="77" spans="1:11">
      <c r="A77" s="5" t="s">
        <v>76</v>
      </c>
      <c r="B77" s="20" t="e">
        <f>+(final_results!B77-Raw_Financials!B77)/Raw_Financials!B77</f>
        <v>#DIV/0!</v>
      </c>
      <c r="C77" s="20" t="e">
        <f>+(final_results!C77-Raw_Financials!C77)/Raw_Financials!C77</f>
        <v>#DIV/0!</v>
      </c>
      <c r="D77" s="20" t="e">
        <f>+(final_results!D77-Raw_Financials!D77)/Raw_Financials!D77</f>
        <v>#DIV/0!</v>
      </c>
      <c r="E77" s="20" t="e">
        <f>+(final_results!E77-Raw_Financials!E77)/Raw_Financials!E77</f>
        <v>#DIV/0!</v>
      </c>
      <c r="F77" s="20" t="e">
        <f>+(final_results!F77-Raw_Financials!F77)/Raw_Financials!F77</f>
        <v>#DIV/0!</v>
      </c>
      <c r="G77" s="20" t="e">
        <f>+(final_results!G77-Raw_Financials!G77)/Raw_Financials!G77</f>
        <v>#DIV/0!</v>
      </c>
      <c r="H77" s="20" t="e">
        <f>+(final_results!H77-Raw_Financials!H77)/Raw_Financials!H77</f>
        <v>#DIV/0!</v>
      </c>
      <c r="I77" s="20" t="e">
        <f>+(final_results!I77-Raw_Financials!I77)/Raw_Financials!I77</f>
        <v>#DIV/0!</v>
      </c>
      <c r="J77" s="20" t="e">
        <f>+(final_results!J77-Raw_Financials!J77)/Raw_Financials!J77</f>
        <v>#DIV/0!</v>
      </c>
      <c r="K77" s="20" t="e">
        <f>+(final_results!K77-Raw_Financials!K77)/Raw_Financials!K77</f>
        <v>#DIV/0!</v>
      </c>
    </row>
    <row r="78" spans="1:11">
      <c r="A78" s="6" t="s">
        <v>77</v>
      </c>
      <c r="B78" s="20" t="e">
        <f>+(final_results!B78-Raw_Financials!B78)/Raw_Financials!B78</f>
        <v>#DIV/0!</v>
      </c>
      <c r="C78" s="20" t="e">
        <f>+(final_results!C78-Raw_Financials!C78)/Raw_Financials!C78</f>
        <v>#DIV/0!</v>
      </c>
      <c r="D78" s="20" t="e">
        <f>+(final_results!D78-Raw_Financials!D78)/Raw_Financials!D78</f>
        <v>#DIV/0!</v>
      </c>
      <c r="E78" s="20" t="e">
        <f>+(final_results!E78-Raw_Financials!E78)/Raw_Financials!E78</f>
        <v>#DIV/0!</v>
      </c>
      <c r="F78" s="20" t="e">
        <f>+(final_results!F78-Raw_Financials!F78)/Raw_Financials!F78</f>
        <v>#DIV/0!</v>
      </c>
      <c r="G78" s="20" t="e">
        <f>+(final_results!G78-Raw_Financials!G78)/Raw_Financials!G78</f>
        <v>#DIV/0!</v>
      </c>
      <c r="H78" s="20" t="e">
        <f>+(final_results!H78-Raw_Financials!H78)/Raw_Financials!H78</f>
        <v>#DIV/0!</v>
      </c>
      <c r="I78" s="20" t="e">
        <f>+(final_results!I78-Raw_Financials!I78)/Raw_Financials!I78</f>
        <v>#DIV/0!</v>
      </c>
      <c r="J78" s="20" t="e">
        <f>+(final_results!J78-Raw_Financials!J78)/Raw_Financials!J78</f>
        <v>#DIV/0!</v>
      </c>
      <c r="K78" s="20" t="e">
        <f>+(final_results!K78-Raw_Financials!K78)/Raw_Financials!K78</f>
        <v>#DIV/0!</v>
      </c>
    </row>
    <row r="79" spans="1:11">
      <c r="A79" s="5" t="s">
        <v>78</v>
      </c>
      <c r="B79" s="20" t="e">
        <f>+(final_results!B79-Raw_Financials!B79)/Raw_Financials!B79</f>
        <v>#DIV/0!</v>
      </c>
      <c r="C79" s="20" t="e">
        <f>+(final_results!C79-Raw_Financials!C79)/Raw_Financials!C79</f>
        <v>#DIV/0!</v>
      </c>
      <c r="D79" s="20" t="e">
        <f>+(final_results!D79-Raw_Financials!D79)/Raw_Financials!D79</f>
        <v>#DIV/0!</v>
      </c>
      <c r="E79" s="20" t="e">
        <f>+(final_results!E79-Raw_Financials!E79)/Raw_Financials!E79</f>
        <v>#DIV/0!</v>
      </c>
      <c r="F79" s="20" t="e">
        <f>+(final_results!F79-Raw_Financials!F79)/Raw_Financials!F79</f>
        <v>#DIV/0!</v>
      </c>
      <c r="G79" s="20" t="e">
        <f>+(final_results!G79-Raw_Financials!G79)/Raw_Financials!G79</f>
        <v>#DIV/0!</v>
      </c>
      <c r="H79" s="20" t="e">
        <f>+(final_results!H79-Raw_Financials!H79)/Raw_Financials!H79</f>
        <v>#DIV/0!</v>
      </c>
      <c r="I79" s="20" t="e">
        <f>+(final_results!I79-Raw_Financials!I79)/Raw_Financials!I79</f>
        <v>#DIV/0!</v>
      </c>
      <c r="J79" s="20" t="e">
        <f>+(final_results!J79-Raw_Financials!J79)/Raw_Financials!J79</f>
        <v>#DIV/0!</v>
      </c>
      <c r="K79" s="20" t="e">
        <f>+(final_results!K79-Raw_Financials!K79)/Raw_Financials!K79</f>
        <v>#DIV/0!</v>
      </c>
    </row>
    <row r="80" spans="1:11">
      <c r="A80" s="6" t="s">
        <v>79</v>
      </c>
      <c r="B80" s="20">
        <f>+(final_results!B80-Raw_Financials!B80)/Raw_Financials!B80</f>
        <v>0</v>
      </c>
      <c r="C80" s="20">
        <f>+(final_results!C80-Raw_Financials!C80)/Raw_Financials!C80</f>
        <v>0</v>
      </c>
      <c r="D80" s="20">
        <f>+(final_results!D80-Raw_Financials!D80)/Raw_Financials!D80</f>
        <v>0</v>
      </c>
      <c r="E80" s="20">
        <f>+(final_results!E80-Raw_Financials!E80)/Raw_Financials!E80</f>
        <v>0</v>
      </c>
      <c r="F80" s="20">
        <f>+(final_results!F80-Raw_Financials!F80)/Raw_Financials!F80</f>
        <v>0</v>
      </c>
      <c r="G80" s="20">
        <f>+(final_results!G80-Raw_Financials!G80)/Raw_Financials!G80</f>
        <v>0</v>
      </c>
      <c r="H80" s="20">
        <f>+(final_results!H80-Raw_Financials!H80)/Raw_Financials!H80</f>
        <v>0</v>
      </c>
      <c r="I80" s="20">
        <f>+(final_results!I80-Raw_Financials!I80)/Raw_Financials!I80</f>
        <v>-1.2801112904878548E-16</v>
      </c>
      <c r="J80" s="20">
        <f>+(final_results!J80-Raw_Financials!J80)/Raw_Financials!J80</f>
        <v>0</v>
      </c>
      <c r="K80" s="20">
        <f>+(final_results!K80-Raw_Financials!K80)/Raw_Financials!K80</f>
        <v>-0.50298651453685306</v>
      </c>
    </row>
    <row r="81" spans="1:11">
      <c r="A81" s="5" t="s">
        <v>80</v>
      </c>
      <c r="B81" s="20" t="e">
        <f>+(final_results!B81-Raw_Financials!B81)/Raw_Financials!B81</f>
        <v>#DIV/0!</v>
      </c>
      <c r="C81" s="20" t="e">
        <f>+(final_results!C81-Raw_Financials!C81)/Raw_Financials!C81</f>
        <v>#DIV/0!</v>
      </c>
      <c r="D81" s="20" t="e">
        <f>+(final_results!D81-Raw_Financials!D81)/Raw_Financials!D81</f>
        <v>#DIV/0!</v>
      </c>
      <c r="E81" s="20" t="e">
        <f>+(final_results!E81-Raw_Financials!E81)/Raw_Financials!E81</f>
        <v>#DIV/0!</v>
      </c>
      <c r="F81" s="20" t="e">
        <f>+(final_results!F81-Raw_Financials!F81)/Raw_Financials!F81</f>
        <v>#DIV/0!</v>
      </c>
      <c r="G81" s="20" t="e">
        <f>+(final_results!G81-Raw_Financials!G81)/Raw_Financials!G81</f>
        <v>#DIV/0!</v>
      </c>
      <c r="H81" s="20" t="e">
        <f>+(final_results!H81-Raw_Financials!H81)/Raw_Financials!H81</f>
        <v>#DIV/0!</v>
      </c>
      <c r="I81" s="20" t="e">
        <f>+(final_results!I81-Raw_Financials!I81)/Raw_Financials!I81</f>
        <v>#DIV/0!</v>
      </c>
      <c r="J81" s="20" t="e">
        <f>+(final_results!J81-Raw_Financials!J81)/Raw_Financials!J81</f>
        <v>#DIV/0!</v>
      </c>
      <c r="K81" s="20" t="e">
        <f>+(final_results!K81-Raw_Financials!K81)/Raw_Financials!K81</f>
        <v>#DIV/0!</v>
      </c>
    </row>
    <row r="82" spans="1:11">
      <c r="A82" s="7" t="s">
        <v>81</v>
      </c>
      <c r="B82" s="20">
        <f>+(final_results!B82-Raw_Financials!B82)/Raw_Financials!B82</f>
        <v>0</v>
      </c>
      <c r="C82" s="20">
        <f>+(final_results!C82-Raw_Financials!C82)/Raw_Financials!C82</f>
        <v>0</v>
      </c>
      <c r="D82" s="20">
        <f>+(final_results!D82-Raw_Financials!D82)/Raw_Financials!D82</f>
        <v>0</v>
      </c>
      <c r="E82" s="20">
        <f>+(final_results!E82-Raw_Financials!E82)/Raw_Financials!E82</f>
        <v>0</v>
      </c>
      <c r="F82" s="20">
        <f>+(final_results!F82-Raw_Financials!F82)/Raw_Financials!F82</f>
        <v>1.1587545345427321E-16</v>
      </c>
      <c r="G82" s="20">
        <f>+(final_results!G82-Raw_Financials!G82)/Raw_Financials!G82</f>
        <v>-1.1294320904483896E-16</v>
      </c>
      <c r="H82" s="20">
        <f>+(final_results!H82-Raw_Financials!H82)/Raw_Financials!H82</f>
        <v>0</v>
      </c>
      <c r="I82" s="20">
        <f>+(final_results!I82-Raw_Financials!I82)/Raw_Financials!I82</f>
        <v>0</v>
      </c>
      <c r="J82" s="20">
        <f>+(final_results!J82-Raw_Financials!J82)/Raw_Financials!J82</f>
        <v>0</v>
      </c>
      <c r="K82" s="20">
        <f>+(final_results!K82-Raw_Financials!K82)/Raw_Financials!K82</f>
        <v>-1.0078065265557417E-3</v>
      </c>
    </row>
    <row r="83" spans="1:11">
      <c r="A83" s="5" t="s">
        <v>82</v>
      </c>
      <c r="B83" s="20" t="e">
        <f>+(final_results!B83-Raw_Financials!B83)/Raw_Financials!B83</f>
        <v>#DIV/0!</v>
      </c>
      <c r="C83" s="20" t="e">
        <f>+(final_results!C83-Raw_Financials!C83)/Raw_Financials!C83</f>
        <v>#DIV/0!</v>
      </c>
      <c r="D83" s="20" t="e">
        <f>+(final_results!D83-Raw_Financials!D83)/Raw_Financials!D83</f>
        <v>#DIV/0!</v>
      </c>
      <c r="E83" s="20" t="e">
        <f>+(final_results!E83-Raw_Financials!E83)/Raw_Financials!E83</f>
        <v>#DIV/0!</v>
      </c>
      <c r="F83" s="20" t="e">
        <f>+(final_results!F83-Raw_Financials!F83)/Raw_Financials!F83</f>
        <v>#DIV/0!</v>
      </c>
      <c r="G83" s="20" t="e">
        <f>+(final_results!G83-Raw_Financials!G83)/Raw_Financials!G83</f>
        <v>#DIV/0!</v>
      </c>
      <c r="H83" s="20" t="e">
        <f>+(final_results!H83-Raw_Financials!H83)/Raw_Financials!H83</f>
        <v>#DIV/0!</v>
      </c>
      <c r="I83" s="20">
        <f>+(final_results!I83-Raw_Financials!I83)/Raw_Financials!I83</f>
        <v>-1</v>
      </c>
      <c r="J83" s="20" t="e">
        <f>+(final_results!J83-Raw_Financials!J83)/Raw_Financials!J83</f>
        <v>#DIV/0!</v>
      </c>
      <c r="K83" s="20" t="e">
        <f>+(final_results!K83-Raw_Financials!K83)/Raw_Financials!K83</f>
        <v>#DIV/0!</v>
      </c>
    </row>
    <row r="84" spans="1:11">
      <c r="A84" s="6" t="s">
        <v>83</v>
      </c>
      <c r="B84" s="20" t="e">
        <f>+(final_results!B84-Raw_Financials!B84)/Raw_Financials!B84</f>
        <v>#DIV/0!</v>
      </c>
      <c r="C84" s="20" t="e">
        <f>+(final_results!C84-Raw_Financials!C84)/Raw_Financials!C84</f>
        <v>#DIV/0!</v>
      </c>
      <c r="D84" s="20" t="e">
        <f>+(final_results!D84-Raw_Financials!D84)/Raw_Financials!D84</f>
        <v>#DIV/0!</v>
      </c>
      <c r="E84" s="20" t="e">
        <f>+(final_results!E84-Raw_Financials!E84)/Raw_Financials!E84</f>
        <v>#DIV/0!</v>
      </c>
      <c r="F84" s="20" t="e">
        <f>+(final_results!F84-Raw_Financials!F84)/Raw_Financials!F84</f>
        <v>#DIV/0!</v>
      </c>
      <c r="G84" s="20" t="e">
        <f>+(final_results!G84-Raw_Financials!G84)/Raw_Financials!G84</f>
        <v>#DIV/0!</v>
      </c>
      <c r="H84" s="20" t="e">
        <f>+(final_results!H84-Raw_Financials!H84)/Raw_Financials!H84</f>
        <v>#DIV/0!</v>
      </c>
      <c r="I84" s="20" t="e">
        <f>+(final_results!I84-Raw_Financials!I84)/Raw_Financials!I84</f>
        <v>#DIV/0!</v>
      </c>
      <c r="J84" s="20" t="e">
        <f>+(final_results!J84-Raw_Financials!J84)/Raw_Financials!J84</f>
        <v>#DIV/0!</v>
      </c>
      <c r="K84" s="20" t="e">
        <f>+(final_results!K84-Raw_Financials!K84)/Raw_Financials!K84</f>
        <v>#DIV/0!</v>
      </c>
    </row>
    <row r="85" spans="1:11">
      <c r="A85" s="6" t="s">
        <v>84</v>
      </c>
      <c r="B85" s="20">
        <f>+(final_results!B85-Raw_Financials!B85)/Raw_Financials!B85</f>
        <v>0</v>
      </c>
      <c r="C85" s="20">
        <f>+(final_results!C85-Raw_Financials!C85)/Raw_Financials!C85</f>
        <v>0</v>
      </c>
      <c r="D85" s="20">
        <f>+(final_results!D85-Raw_Financials!D85)/Raw_Financials!D85</f>
        <v>0</v>
      </c>
      <c r="E85" s="20">
        <f>+(final_results!E85-Raw_Financials!E85)/Raw_Financials!E85</f>
        <v>0</v>
      </c>
      <c r="F85" s="20">
        <f>+(final_results!F85-Raw_Financials!F85)/Raw_Financials!F85</f>
        <v>0</v>
      </c>
      <c r="G85" s="20">
        <f>+(final_results!G85-Raw_Financials!G85)/Raw_Financials!G85</f>
        <v>0</v>
      </c>
      <c r="H85" s="20">
        <f>+(final_results!H85-Raw_Financials!H85)/Raw_Financials!H85</f>
        <v>1.1809485552510674E-16</v>
      </c>
      <c r="I85" s="20">
        <f>+(final_results!I85-Raw_Financials!I85)/Raw_Financials!I85</f>
        <v>0</v>
      </c>
      <c r="J85" s="20">
        <f>+(final_results!J85-Raw_Financials!J85)/Raw_Financials!J85</f>
        <v>0</v>
      </c>
      <c r="K85" s="20">
        <f>+(final_results!K85-Raw_Financials!K85)/Raw_Financials!K85</f>
        <v>0</v>
      </c>
    </row>
    <row r="86" spans="1:11">
      <c r="A86" s="5" t="s">
        <v>85</v>
      </c>
      <c r="B86" s="20">
        <f>+(final_results!B86-Raw_Financials!B86)/Raw_Financials!B86</f>
        <v>0</v>
      </c>
      <c r="C86" s="20">
        <f>+(final_results!C86-Raw_Financials!C86)/Raw_Financials!C86</f>
        <v>0</v>
      </c>
      <c r="D86" s="20">
        <f>+(final_results!D86-Raw_Financials!D86)/Raw_Financials!D86</f>
        <v>0</v>
      </c>
      <c r="E86" s="20">
        <f>+(final_results!E86-Raw_Financials!E86)/Raw_Financials!E86</f>
        <v>0</v>
      </c>
      <c r="F86" s="20">
        <f>+(final_results!F86-Raw_Financials!F86)/Raw_Financials!F86</f>
        <v>0</v>
      </c>
      <c r="G86" s="20">
        <f>+(final_results!G86-Raw_Financials!G86)/Raw_Financials!G86</f>
        <v>0</v>
      </c>
      <c r="H86" s="20">
        <f>+(final_results!H86-Raw_Financials!H86)/Raw_Financials!H86</f>
        <v>0</v>
      </c>
      <c r="I86" s="20">
        <f>+(final_results!I86-Raw_Financials!I86)/Raw_Financials!I86</f>
        <v>1.4944009422797985E-16</v>
      </c>
      <c r="J86" s="20">
        <f>+(final_results!J86-Raw_Financials!J86)/Raw_Financials!J86</f>
        <v>-0.81622128345132261</v>
      </c>
      <c r="K86" s="20">
        <f>+(final_results!K86-Raw_Financials!K86)/Raw_Financials!K86</f>
        <v>-0.85216361261433538</v>
      </c>
    </row>
    <row r="87" spans="1:11">
      <c r="A87" s="6" t="s">
        <v>86</v>
      </c>
      <c r="B87" s="20" t="e">
        <f>+(final_results!B87-Raw_Financials!B87)/Raw_Financials!B87</f>
        <v>#DIV/0!</v>
      </c>
      <c r="C87" s="20" t="e">
        <f>+(final_results!C87-Raw_Financials!C87)/Raw_Financials!C87</f>
        <v>#DIV/0!</v>
      </c>
      <c r="D87" s="20" t="e">
        <f>+(final_results!D87-Raw_Financials!D87)/Raw_Financials!D87</f>
        <v>#DIV/0!</v>
      </c>
      <c r="E87" s="20" t="e">
        <f>+(final_results!E87-Raw_Financials!E87)/Raw_Financials!E87</f>
        <v>#DIV/0!</v>
      </c>
      <c r="F87" s="20" t="e">
        <f>+(final_results!F87-Raw_Financials!F87)/Raw_Financials!F87</f>
        <v>#DIV/0!</v>
      </c>
      <c r="G87" s="20" t="e">
        <f>+(final_results!G87-Raw_Financials!G87)/Raw_Financials!G87</f>
        <v>#DIV/0!</v>
      </c>
      <c r="H87" s="20" t="e">
        <f>+(final_results!H87-Raw_Financials!H87)/Raw_Financials!H87</f>
        <v>#DIV/0!</v>
      </c>
      <c r="I87" s="20" t="e">
        <f>+(final_results!I87-Raw_Financials!I87)/Raw_Financials!I87</f>
        <v>#DIV/0!</v>
      </c>
      <c r="J87" s="20" t="e">
        <f>+(final_results!J87-Raw_Financials!J87)/Raw_Financials!J87</f>
        <v>#DIV/0!</v>
      </c>
      <c r="K87" s="20" t="e">
        <f>+(final_results!K87-Raw_Financials!K87)/Raw_Financials!K87</f>
        <v>#DIV/0!</v>
      </c>
    </row>
    <row r="88" spans="1:11">
      <c r="A88" s="5" t="s">
        <v>87</v>
      </c>
      <c r="B88" s="20" t="e">
        <f>+(final_results!B88-Raw_Financials!B88)/Raw_Financials!B88</f>
        <v>#DIV/0!</v>
      </c>
      <c r="C88" s="20" t="e">
        <f>+(final_results!C88-Raw_Financials!C88)/Raw_Financials!C88</f>
        <v>#DIV/0!</v>
      </c>
      <c r="D88" s="20" t="e">
        <f>+(final_results!D88-Raw_Financials!D88)/Raw_Financials!D88</f>
        <v>#DIV/0!</v>
      </c>
      <c r="E88" s="20" t="e">
        <f>+(final_results!E88-Raw_Financials!E88)/Raw_Financials!E88</f>
        <v>#DIV/0!</v>
      </c>
      <c r="F88" s="20" t="e">
        <f>+(final_results!F88-Raw_Financials!F88)/Raw_Financials!F88</f>
        <v>#DIV/0!</v>
      </c>
      <c r="G88" s="20" t="e">
        <f>+(final_results!G88-Raw_Financials!G88)/Raw_Financials!G88</f>
        <v>#DIV/0!</v>
      </c>
      <c r="H88" s="20" t="e">
        <f>+(final_results!H88-Raw_Financials!H88)/Raw_Financials!H88</f>
        <v>#DIV/0!</v>
      </c>
      <c r="I88" s="20" t="e">
        <f>+(final_results!I88-Raw_Financials!I88)/Raw_Financials!I88</f>
        <v>#DIV/0!</v>
      </c>
      <c r="J88" s="20" t="e">
        <f>+(final_results!J88-Raw_Financials!J88)/Raw_Financials!J88</f>
        <v>#DIV/0!</v>
      </c>
      <c r="K88" s="20" t="e">
        <f>+(final_results!K88-Raw_Financials!K88)/Raw_Financials!K88</f>
        <v>#DIV/0!</v>
      </c>
    </row>
    <row r="89" spans="1:11">
      <c r="A89" s="6" t="s">
        <v>88</v>
      </c>
      <c r="B89" s="20" t="e">
        <f>+(final_results!B89-Raw_Financials!B89)/Raw_Financials!B89</f>
        <v>#DIV/0!</v>
      </c>
      <c r="C89" s="20" t="e">
        <f>+(final_results!C89-Raw_Financials!C89)/Raw_Financials!C89</f>
        <v>#DIV/0!</v>
      </c>
      <c r="D89" s="20" t="e">
        <f>+(final_results!D89-Raw_Financials!D89)/Raw_Financials!D89</f>
        <v>#DIV/0!</v>
      </c>
      <c r="E89" s="20" t="e">
        <f>+(final_results!E89-Raw_Financials!E89)/Raw_Financials!E89</f>
        <v>#DIV/0!</v>
      </c>
      <c r="F89" s="20" t="e">
        <f>+(final_results!F89-Raw_Financials!F89)/Raw_Financials!F89</f>
        <v>#DIV/0!</v>
      </c>
      <c r="G89" s="20" t="e">
        <f>+(final_results!G89-Raw_Financials!G89)/Raw_Financials!G89</f>
        <v>#DIV/0!</v>
      </c>
      <c r="H89" s="20" t="e">
        <f>+(final_results!H89-Raw_Financials!H89)/Raw_Financials!H89</f>
        <v>#DIV/0!</v>
      </c>
      <c r="I89" s="20" t="e">
        <f>+(final_results!I89-Raw_Financials!I89)/Raw_Financials!I89</f>
        <v>#DIV/0!</v>
      </c>
      <c r="J89" s="20" t="e">
        <f>+(final_results!J89-Raw_Financials!J89)/Raw_Financials!J89</f>
        <v>#DIV/0!</v>
      </c>
      <c r="K89" s="20" t="e">
        <f>+(final_results!K89-Raw_Financials!K89)/Raw_Financials!K89</f>
        <v>#DIV/0!</v>
      </c>
    </row>
    <row r="90" spans="1:11">
      <c r="A90" s="5" t="s">
        <v>89</v>
      </c>
      <c r="B90" s="20" t="e">
        <f>+(final_results!B90-Raw_Financials!B90)/Raw_Financials!B90</f>
        <v>#DIV/0!</v>
      </c>
      <c r="C90" s="20" t="e">
        <f>+(final_results!C90-Raw_Financials!C90)/Raw_Financials!C90</f>
        <v>#DIV/0!</v>
      </c>
      <c r="D90" s="20" t="e">
        <f>+(final_results!D90-Raw_Financials!D90)/Raw_Financials!D90</f>
        <v>#DIV/0!</v>
      </c>
      <c r="E90" s="20" t="e">
        <f>+(final_results!E90-Raw_Financials!E90)/Raw_Financials!E90</f>
        <v>#DIV/0!</v>
      </c>
      <c r="F90" s="20" t="e">
        <f>+(final_results!F90-Raw_Financials!F90)/Raw_Financials!F90</f>
        <v>#DIV/0!</v>
      </c>
      <c r="G90" s="20" t="e">
        <f>+(final_results!G90-Raw_Financials!G90)/Raw_Financials!G90</f>
        <v>#DIV/0!</v>
      </c>
      <c r="H90" s="20" t="e">
        <f>+(final_results!H90-Raw_Financials!H90)/Raw_Financials!H90</f>
        <v>#DIV/0!</v>
      </c>
      <c r="I90" s="20" t="e">
        <f>+(final_results!I90-Raw_Financials!I90)/Raw_Financials!I90</f>
        <v>#DIV/0!</v>
      </c>
      <c r="J90" s="20" t="e">
        <f>+(final_results!J90-Raw_Financials!J90)/Raw_Financials!J90</f>
        <v>#DIV/0!</v>
      </c>
      <c r="K90" s="20" t="e">
        <f>+(final_results!K90-Raw_Financials!K90)/Raw_Financials!K90</f>
        <v>#DIV/0!</v>
      </c>
    </row>
    <row r="91" spans="1:11">
      <c r="A91" s="6" t="s">
        <v>90</v>
      </c>
      <c r="B91" s="20">
        <f>+(final_results!B91-Raw_Financials!B91)/Raw_Financials!B91</f>
        <v>0</v>
      </c>
      <c r="C91" s="20">
        <f>+(final_results!C91-Raw_Financials!C91)/Raw_Financials!C91</f>
        <v>0</v>
      </c>
      <c r="D91" s="20">
        <f>+(final_results!D91-Raw_Financials!D91)/Raw_Financials!D91</f>
        <v>0</v>
      </c>
      <c r="E91" s="20">
        <f>+(final_results!E91-Raw_Financials!E91)/Raw_Financials!E91</f>
        <v>-1.3253627034247648E-16</v>
      </c>
      <c r="F91" s="20">
        <f>+(final_results!F91-Raw_Financials!F91)/Raw_Financials!F91</f>
        <v>1.5045108633582135E-16</v>
      </c>
      <c r="G91" s="20">
        <f>+(final_results!G91-Raw_Financials!G91)/Raw_Financials!G91</f>
        <v>0</v>
      </c>
      <c r="H91" s="20">
        <f>+(final_results!H91-Raw_Financials!H91)/Raw_Financials!H91</f>
        <v>0</v>
      </c>
      <c r="I91" s="20">
        <f>+(final_results!I91-Raw_Financials!I91)/Raw_Financials!I91</f>
        <v>0</v>
      </c>
      <c r="J91" s="20">
        <f>+(final_results!J91-Raw_Financials!J91)/Raw_Financials!J91</f>
        <v>-0.27695544389732929</v>
      </c>
      <c r="K91" s="20">
        <f>+(final_results!K91-Raw_Financials!K91)/Raw_Financials!K91</f>
        <v>-0.58654498331930827</v>
      </c>
    </row>
    <row r="92" spans="1:11">
      <c r="A92" s="5" t="s">
        <v>91</v>
      </c>
      <c r="B92" s="20" t="e">
        <f>+(final_results!B92-Raw_Financials!B92)/Raw_Financials!B92</f>
        <v>#DIV/0!</v>
      </c>
      <c r="C92" s="20" t="e">
        <f>+(final_results!C92-Raw_Financials!C92)/Raw_Financials!C92</f>
        <v>#DIV/0!</v>
      </c>
      <c r="D92" s="20" t="e">
        <f>+(final_results!D92-Raw_Financials!D92)/Raw_Financials!D92</f>
        <v>#DIV/0!</v>
      </c>
      <c r="E92" s="20" t="e">
        <f>+(final_results!E92-Raw_Financials!E92)/Raw_Financials!E92</f>
        <v>#DIV/0!</v>
      </c>
      <c r="F92" s="20" t="e">
        <f>+(final_results!F92-Raw_Financials!F92)/Raw_Financials!F92</f>
        <v>#DIV/0!</v>
      </c>
      <c r="G92" s="20" t="e">
        <f>+(final_results!G92-Raw_Financials!G92)/Raw_Financials!G92</f>
        <v>#DIV/0!</v>
      </c>
      <c r="H92" s="20" t="e">
        <f>+(final_results!H92-Raw_Financials!H92)/Raw_Financials!H92</f>
        <v>#DIV/0!</v>
      </c>
      <c r="I92" s="20" t="e">
        <f>+(final_results!I92-Raw_Financials!I92)/Raw_Financials!I92</f>
        <v>#DIV/0!</v>
      </c>
      <c r="J92" s="20" t="e">
        <f>+(final_results!J92-Raw_Financials!J92)/Raw_Financials!J92</f>
        <v>#DIV/0!</v>
      </c>
      <c r="K92" s="20" t="e">
        <f>+(final_results!K92-Raw_Financials!K92)/Raw_Financials!K92</f>
        <v>#DIV/0!</v>
      </c>
    </row>
    <row r="93" spans="1:11">
      <c r="A93" s="7" t="s">
        <v>74</v>
      </c>
      <c r="B93" s="20">
        <f>+(final_results!B93-Raw_Financials!B93)/Raw_Financials!B93</f>
        <v>0</v>
      </c>
      <c r="C93" s="20">
        <f>+(final_results!C93-Raw_Financials!C93)/Raw_Financials!C93</f>
        <v>-1.2047267178720602E-16</v>
      </c>
      <c r="D93" s="20">
        <f>+(final_results!D93-Raw_Financials!D93)/Raw_Financials!D93</f>
        <v>0</v>
      </c>
      <c r="E93" s="20">
        <f>+(final_results!E93-Raw_Financials!E93)/Raw_Financials!E93</f>
        <v>0</v>
      </c>
      <c r="F93" s="20">
        <f>+(final_results!F93-Raw_Financials!F93)/Raw_Financials!F93</f>
        <v>0</v>
      </c>
      <c r="G93" s="20">
        <f>+(final_results!G93-Raw_Financials!G93)/Raw_Financials!G93</f>
        <v>0</v>
      </c>
      <c r="H93" s="20">
        <f>+(final_results!H93-Raw_Financials!H93)/Raw_Financials!H93</f>
        <v>0</v>
      </c>
      <c r="I93" s="20">
        <f>+(final_results!I93-Raw_Financials!I93)/Raw_Financials!I93</f>
        <v>0</v>
      </c>
      <c r="J93" s="20">
        <f>+(final_results!J93-Raw_Financials!J93)/Raw_Financials!J93</f>
        <v>0</v>
      </c>
      <c r="K93" s="20">
        <f>+(final_results!K93-Raw_Financials!K93)/Raw_Financials!K93</f>
        <v>0</v>
      </c>
    </row>
    <row r="94" spans="1:11">
      <c r="A94" s="5" t="s">
        <v>92</v>
      </c>
      <c r="B94" s="20" t="e">
        <f>+(final_results!B94-Raw_Financials!B94)/Raw_Financials!B94</f>
        <v>#DIV/0!</v>
      </c>
      <c r="C94" s="20" t="e">
        <f>+(final_results!C94-Raw_Financials!C94)/Raw_Financials!C94</f>
        <v>#DIV/0!</v>
      </c>
      <c r="D94" s="20" t="e">
        <f>+(final_results!D94-Raw_Financials!D94)/Raw_Financials!D94</f>
        <v>#DIV/0!</v>
      </c>
      <c r="E94" s="20" t="e">
        <f>+(final_results!E94-Raw_Financials!E94)/Raw_Financials!E94</f>
        <v>#DIV/0!</v>
      </c>
      <c r="F94" s="20" t="e">
        <f>+(final_results!F94-Raw_Financials!F94)/Raw_Financials!F94</f>
        <v>#DIV/0!</v>
      </c>
      <c r="G94" s="20" t="e">
        <f>+(final_results!G94-Raw_Financials!G94)/Raw_Financials!G94</f>
        <v>#DIV/0!</v>
      </c>
      <c r="H94" s="20" t="e">
        <f>+(final_results!H94-Raw_Financials!H94)/Raw_Financials!H94</f>
        <v>#DIV/0!</v>
      </c>
      <c r="I94" s="20" t="e">
        <f>+(final_results!I94-Raw_Financials!I94)/Raw_Financials!I94</f>
        <v>#DIV/0!</v>
      </c>
      <c r="J94" s="20" t="e">
        <f>+(final_results!J94-Raw_Financials!J94)/Raw_Financials!J94</f>
        <v>#DIV/0!</v>
      </c>
      <c r="K94" s="20" t="e">
        <f>+(final_results!K94-Raw_Financials!K94)/Raw_Financials!K94</f>
        <v>#DIV/0!</v>
      </c>
    </row>
    <row r="95" spans="1:11">
      <c r="A95" s="6" t="s">
        <v>93</v>
      </c>
      <c r="B95" s="20" t="e">
        <f>+(final_results!B95-Raw_Financials!B95)/Raw_Financials!B95</f>
        <v>#DIV/0!</v>
      </c>
      <c r="C95" s="20">
        <f>+(final_results!C95-Raw_Financials!C95)/Raw_Financials!C95</f>
        <v>-0.64793812575245457</v>
      </c>
      <c r="D95" s="20">
        <f>+(final_results!D95-Raw_Financials!D95)/Raw_Financials!D95</f>
        <v>-0.48238803148157672</v>
      </c>
      <c r="E95" s="20" t="e">
        <f>+(final_results!E95-Raw_Financials!E95)/Raw_Financials!E95</f>
        <v>#DIV/0!</v>
      </c>
      <c r="F95" s="20" t="e">
        <f>+(final_results!F95-Raw_Financials!F95)/Raw_Financials!F95</f>
        <v>#DIV/0!</v>
      </c>
      <c r="G95" s="20" t="e">
        <f>+(final_results!G95-Raw_Financials!G95)/Raw_Financials!G95</f>
        <v>#DIV/0!</v>
      </c>
      <c r="H95" s="20">
        <f>+(final_results!H95-Raw_Financials!H95)/Raw_Financials!H95</f>
        <v>0</v>
      </c>
      <c r="I95" s="20">
        <f>+(final_results!I95-Raw_Financials!I95)/Raw_Financials!I95</f>
        <v>0</v>
      </c>
      <c r="J95" s="20">
        <f>+(final_results!J95-Raw_Financials!J95)/Raw_Financials!J95</f>
        <v>0</v>
      </c>
      <c r="K95" s="20">
        <f>+(final_results!K95-Raw_Financials!K95)/Raw_Financials!K95</f>
        <v>0</v>
      </c>
    </row>
    <row r="96" spans="1:11">
      <c r="A96" s="5" t="s">
        <v>94</v>
      </c>
      <c r="B96" s="20" t="e">
        <f>+(final_results!B96-Raw_Financials!B96)/Raw_Financials!B96</f>
        <v>#DIV/0!</v>
      </c>
      <c r="C96" s="20" t="e">
        <f>+(final_results!C96-Raw_Financials!C96)/Raw_Financials!C96</f>
        <v>#DIV/0!</v>
      </c>
      <c r="D96" s="20" t="e">
        <f>+(final_results!D96-Raw_Financials!D96)/Raw_Financials!D96</f>
        <v>#DIV/0!</v>
      </c>
      <c r="E96" s="20" t="e">
        <f>+(final_results!E96-Raw_Financials!E96)/Raw_Financials!E96</f>
        <v>#DIV/0!</v>
      </c>
      <c r="F96" s="20" t="e">
        <f>+(final_results!F96-Raw_Financials!F96)/Raw_Financials!F96</f>
        <v>#DIV/0!</v>
      </c>
      <c r="G96" s="20" t="e">
        <f>+(final_results!G96-Raw_Financials!G96)/Raw_Financials!G96</f>
        <v>#DIV/0!</v>
      </c>
      <c r="H96" s="20" t="e">
        <f>+(final_results!H96-Raw_Financials!H96)/Raw_Financials!H96</f>
        <v>#DIV/0!</v>
      </c>
      <c r="I96" s="20" t="e">
        <f>+(final_results!I96-Raw_Financials!I96)/Raw_Financials!I96</f>
        <v>#DIV/0!</v>
      </c>
      <c r="J96" s="20" t="e">
        <f>+(final_results!J96-Raw_Financials!J96)/Raw_Financials!J96</f>
        <v>#DIV/0!</v>
      </c>
      <c r="K96" s="20" t="e">
        <f>+(final_results!K96-Raw_Financials!K96)/Raw_Financials!K96</f>
        <v>#DIV/0!</v>
      </c>
    </row>
    <row r="97" spans="1:11">
      <c r="A97" s="6" t="s">
        <v>95</v>
      </c>
      <c r="B97" s="20" t="e">
        <f>+(final_results!B97-Raw_Financials!B97)/Raw_Financials!B97</f>
        <v>#DIV/0!</v>
      </c>
      <c r="C97" s="20" t="e">
        <f>+(final_results!C97-Raw_Financials!C97)/Raw_Financials!C97</f>
        <v>#DIV/0!</v>
      </c>
      <c r="D97" s="20" t="e">
        <f>+(final_results!D97-Raw_Financials!D97)/Raw_Financials!D97</f>
        <v>#DIV/0!</v>
      </c>
      <c r="E97" s="20" t="e">
        <f>+(final_results!E97-Raw_Financials!E97)/Raw_Financials!E97</f>
        <v>#DIV/0!</v>
      </c>
      <c r="F97" s="20" t="e">
        <f>+(final_results!F97-Raw_Financials!F97)/Raw_Financials!F97</f>
        <v>#DIV/0!</v>
      </c>
      <c r="G97" s="20" t="e">
        <f>+(final_results!G97-Raw_Financials!G97)/Raw_Financials!G97</f>
        <v>#DIV/0!</v>
      </c>
      <c r="H97" s="20" t="e">
        <f>+(final_results!H97-Raw_Financials!H97)/Raw_Financials!H97</f>
        <v>#DIV/0!</v>
      </c>
      <c r="I97" s="20" t="e">
        <f>+(final_results!I97-Raw_Financials!I97)/Raw_Financials!I97</f>
        <v>#DIV/0!</v>
      </c>
      <c r="J97" s="20" t="e">
        <f>+(final_results!J97-Raw_Financials!J97)/Raw_Financials!J97</f>
        <v>#DIV/0!</v>
      </c>
      <c r="K97" s="20" t="e">
        <f>+(final_results!K97-Raw_Financials!K97)/Raw_Financials!K97</f>
        <v>#DIV/0!</v>
      </c>
    </row>
    <row r="98" spans="1:11">
      <c r="A98" s="5" t="s">
        <v>96</v>
      </c>
      <c r="B98" s="20" t="e">
        <f>+(final_results!B98-Raw_Financials!B98)/Raw_Financials!B98</f>
        <v>#DIV/0!</v>
      </c>
      <c r="C98" s="20" t="e">
        <f>+(final_results!C98-Raw_Financials!C98)/Raw_Financials!C98</f>
        <v>#DIV/0!</v>
      </c>
      <c r="D98" s="20" t="e">
        <f>+(final_results!D98-Raw_Financials!D98)/Raw_Financials!D98</f>
        <v>#DIV/0!</v>
      </c>
      <c r="E98" s="20" t="e">
        <f>+(final_results!E98-Raw_Financials!E98)/Raw_Financials!E98</f>
        <v>#DIV/0!</v>
      </c>
      <c r="F98" s="20" t="e">
        <f>+(final_results!F98-Raw_Financials!F98)/Raw_Financials!F98</f>
        <v>#DIV/0!</v>
      </c>
      <c r="G98" s="20" t="e">
        <f>+(final_results!G98-Raw_Financials!G98)/Raw_Financials!G98</f>
        <v>#DIV/0!</v>
      </c>
      <c r="H98" s="20" t="e">
        <f>+(final_results!H98-Raw_Financials!H98)/Raw_Financials!H98</f>
        <v>#DIV/0!</v>
      </c>
      <c r="I98" s="20" t="e">
        <f>+(final_results!I98-Raw_Financials!I98)/Raw_Financials!I98</f>
        <v>#DIV/0!</v>
      </c>
      <c r="J98" s="20" t="e">
        <f>+(final_results!J98-Raw_Financials!J98)/Raw_Financials!J98</f>
        <v>#DIV/0!</v>
      </c>
      <c r="K98" s="20" t="e">
        <f>+(final_results!K98-Raw_Financials!K98)/Raw_Financials!K98</f>
        <v>#DIV/0!</v>
      </c>
    </row>
    <row r="99" spans="1:11">
      <c r="A99" s="6" t="s">
        <v>97</v>
      </c>
      <c r="B99" s="20" t="e">
        <f>+(final_results!B99-Raw_Financials!B99)/Raw_Financials!B99</f>
        <v>#DIV/0!</v>
      </c>
      <c r="C99" s="20" t="e">
        <f>+(final_results!C99-Raw_Financials!C99)/Raw_Financials!C99</f>
        <v>#DIV/0!</v>
      </c>
      <c r="D99" s="20" t="e">
        <f>+(final_results!D99-Raw_Financials!D99)/Raw_Financials!D99</f>
        <v>#DIV/0!</v>
      </c>
      <c r="E99" s="20" t="e">
        <f>+(final_results!E99-Raw_Financials!E99)/Raw_Financials!E99</f>
        <v>#DIV/0!</v>
      </c>
      <c r="F99" s="20" t="e">
        <f>+(final_results!F99-Raw_Financials!F99)/Raw_Financials!F99</f>
        <v>#DIV/0!</v>
      </c>
      <c r="G99" s="20" t="e">
        <f>+(final_results!G99-Raw_Financials!G99)/Raw_Financials!G99</f>
        <v>#DIV/0!</v>
      </c>
      <c r="H99" s="20" t="e">
        <f>+(final_results!H99-Raw_Financials!H99)/Raw_Financials!H99</f>
        <v>#DIV/0!</v>
      </c>
      <c r="I99" s="20" t="e">
        <f>+(final_results!I99-Raw_Financials!I99)/Raw_Financials!I99</f>
        <v>#DIV/0!</v>
      </c>
      <c r="J99" s="20" t="e">
        <f>+(final_results!J99-Raw_Financials!J99)/Raw_Financials!J99</f>
        <v>#DIV/0!</v>
      </c>
      <c r="K99" s="20" t="e">
        <f>+(final_results!K99-Raw_Financials!K99)/Raw_Financials!K99</f>
        <v>#DIV/0!</v>
      </c>
    </row>
    <row r="100" spans="1:11">
      <c r="A100" s="7" t="s">
        <v>98</v>
      </c>
      <c r="B100" s="20" t="e">
        <f>+(final_results!B100-Raw_Financials!B100)/Raw_Financials!B100</f>
        <v>#DIV/0!</v>
      </c>
      <c r="C100" s="20">
        <f>+(final_results!C100-Raw_Financials!C100)/Raw_Financials!C100</f>
        <v>-0.64793812575245457</v>
      </c>
      <c r="D100" s="20">
        <f>+(final_results!D100-Raw_Financials!D100)/Raw_Financials!D100</f>
        <v>-0.48238803148157672</v>
      </c>
      <c r="E100" s="20" t="e">
        <f>+(final_results!E100-Raw_Financials!E100)/Raw_Financials!E100</f>
        <v>#DIV/0!</v>
      </c>
      <c r="F100" s="20" t="e">
        <f>+(final_results!F100-Raw_Financials!F100)/Raw_Financials!F100</f>
        <v>#DIV/0!</v>
      </c>
      <c r="G100" s="20" t="e">
        <f>+(final_results!G100-Raw_Financials!G100)/Raw_Financials!G100</f>
        <v>#DIV/0!</v>
      </c>
      <c r="H100" s="20">
        <f>+(final_results!H100-Raw_Financials!H100)/Raw_Financials!H100</f>
        <v>0</v>
      </c>
      <c r="I100" s="20">
        <f>+(final_results!I100-Raw_Financials!I100)/Raw_Financials!I100</f>
        <v>0</v>
      </c>
      <c r="J100" s="20">
        <f>+(final_results!J100-Raw_Financials!J100)/Raw_Financials!J100</f>
        <v>0</v>
      </c>
      <c r="K100" s="20">
        <f>+(final_results!K100-Raw_Financials!K100)/Raw_Financials!K100</f>
        <v>0</v>
      </c>
    </row>
    <row r="101" spans="1:11">
      <c r="A101" s="6" t="s">
        <v>99</v>
      </c>
      <c r="B101" s="20">
        <f>+(final_results!B101-Raw_Financials!B101)/Raw_Financials!B101</f>
        <v>0</v>
      </c>
      <c r="C101" s="20">
        <f>+(final_results!C101-Raw_Financials!C101)/Raw_Financials!C101</f>
        <v>0</v>
      </c>
      <c r="D101" s="20">
        <f>+(final_results!D101-Raw_Financials!D101)/Raw_Financials!D101</f>
        <v>0</v>
      </c>
      <c r="E101" s="20">
        <f>+(final_results!E101-Raw_Financials!E101)/Raw_Financials!E101</f>
        <v>0</v>
      </c>
      <c r="F101" s="20">
        <f>+(final_results!F101-Raw_Financials!F101)/Raw_Financials!F101</f>
        <v>0</v>
      </c>
      <c r="G101" s="20">
        <f>+(final_results!G101-Raw_Financials!G101)/Raw_Financials!G101</f>
        <v>0</v>
      </c>
      <c r="H101" s="20">
        <f>+(final_results!H101-Raw_Financials!H101)/Raw_Financials!H101</f>
        <v>0</v>
      </c>
      <c r="I101" s="20">
        <f>+(final_results!I101-Raw_Financials!I101)/Raw_Financials!I101</f>
        <v>1.4495957042583715E-16</v>
      </c>
      <c r="J101" s="20">
        <f>+(final_results!J101-Raw_Financials!J101)/Raw_Financials!J101</f>
        <v>0</v>
      </c>
      <c r="K101" s="20">
        <f>+(final_results!K101-Raw_Financials!K101)/Raw_Financials!K101</f>
        <v>0</v>
      </c>
    </row>
    <row r="102" spans="1:11">
      <c r="A102" s="5" t="s">
        <v>100</v>
      </c>
      <c r="B102" s="20" t="e">
        <f>+(final_results!B102-Raw_Financials!B102)/Raw_Financials!B102</f>
        <v>#DIV/0!</v>
      </c>
      <c r="C102" s="20" t="e">
        <f>+(final_results!C102-Raw_Financials!C102)/Raw_Financials!C102</f>
        <v>#DIV/0!</v>
      </c>
      <c r="D102" s="20" t="e">
        <f>+(final_results!D102-Raw_Financials!D102)/Raw_Financials!D102</f>
        <v>#DIV/0!</v>
      </c>
      <c r="E102" s="20" t="e">
        <f>+(final_results!E102-Raw_Financials!E102)/Raw_Financials!E102</f>
        <v>#DIV/0!</v>
      </c>
      <c r="F102" s="20" t="e">
        <f>+(final_results!F102-Raw_Financials!F102)/Raw_Financials!F102</f>
        <v>#DIV/0!</v>
      </c>
      <c r="G102" s="20" t="e">
        <f>+(final_results!G102-Raw_Financials!G102)/Raw_Financials!G102</f>
        <v>#DIV/0!</v>
      </c>
      <c r="H102" s="20" t="e">
        <f>+(final_results!H102-Raw_Financials!H102)/Raw_Financials!H102</f>
        <v>#DIV/0!</v>
      </c>
      <c r="I102" s="20" t="e">
        <f>+(final_results!I102-Raw_Financials!I102)/Raw_Financials!I102</f>
        <v>#DIV/0!</v>
      </c>
      <c r="J102" s="20" t="e">
        <f>+(final_results!J102-Raw_Financials!J102)/Raw_Financials!J102</f>
        <v>#DIV/0!</v>
      </c>
      <c r="K102" s="20" t="e">
        <f>+(final_results!K102-Raw_Financials!K102)/Raw_Financials!K102</f>
        <v>#DIV/0!</v>
      </c>
    </row>
    <row r="103" spans="1:11">
      <c r="A103" s="6" t="s">
        <v>101</v>
      </c>
      <c r="B103" s="20" t="e">
        <f>+(final_results!B103-Raw_Financials!B103)/Raw_Financials!B103</f>
        <v>#DIV/0!</v>
      </c>
      <c r="C103" s="20" t="e">
        <f>+(final_results!C103-Raw_Financials!C103)/Raw_Financials!C103</f>
        <v>#DIV/0!</v>
      </c>
      <c r="D103" s="20" t="e">
        <f>+(final_results!D103-Raw_Financials!D103)/Raw_Financials!D103</f>
        <v>#DIV/0!</v>
      </c>
      <c r="E103" s="20" t="e">
        <f>+(final_results!E103-Raw_Financials!E103)/Raw_Financials!E103</f>
        <v>#DIV/0!</v>
      </c>
      <c r="F103" s="20" t="e">
        <f>+(final_results!F103-Raw_Financials!F103)/Raw_Financials!F103</f>
        <v>#DIV/0!</v>
      </c>
      <c r="G103" s="20" t="e">
        <f>+(final_results!G103-Raw_Financials!G103)/Raw_Financials!G103</f>
        <v>#DIV/0!</v>
      </c>
      <c r="H103" s="20" t="e">
        <f>+(final_results!H103-Raw_Financials!H103)/Raw_Financials!H103</f>
        <v>#DIV/0!</v>
      </c>
      <c r="I103" s="20" t="e">
        <f>+(final_results!I103-Raw_Financials!I103)/Raw_Financials!I103</f>
        <v>#DIV/0!</v>
      </c>
      <c r="J103" s="20" t="e">
        <f>+(final_results!J103-Raw_Financials!J103)/Raw_Financials!J103</f>
        <v>#DIV/0!</v>
      </c>
      <c r="K103" s="20" t="e">
        <f>+(final_results!K103-Raw_Financials!K103)/Raw_Financials!K103</f>
        <v>#DIV/0!</v>
      </c>
    </row>
    <row r="104" spans="1:11">
      <c r="A104" s="5" t="s">
        <v>102</v>
      </c>
      <c r="B104" s="20" t="e">
        <f>+(final_results!B104-Raw_Financials!B104)/Raw_Financials!B104</f>
        <v>#DIV/0!</v>
      </c>
      <c r="C104" s="20" t="e">
        <f>+(final_results!C104-Raw_Financials!C104)/Raw_Financials!C104</f>
        <v>#DIV/0!</v>
      </c>
      <c r="D104" s="20" t="e">
        <f>+(final_results!D104-Raw_Financials!D104)/Raw_Financials!D104</f>
        <v>#DIV/0!</v>
      </c>
      <c r="E104" s="20" t="e">
        <f>+(final_results!E104-Raw_Financials!E104)/Raw_Financials!E104</f>
        <v>#DIV/0!</v>
      </c>
      <c r="F104" s="20" t="e">
        <f>+(final_results!F104-Raw_Financials!F104)/Raw_Financials!F104</f>
        <v>#DIV/0!</v>
      </c>
      <c r="G104" s="20" t="e">
        <f>+(final_results!G104-Raw_Financials!G104)/Raw_Financials!G104</f>
        <v>#DIV/0!</v>
      </c>
      <c r="H104" s="20" t="e">
        <f>+(final_results!H104-Raw_Financials!H104)/Raw_Financials!H104</f>
        <v>#DIV/0!</v>
      </c>
      <c r="I104" s="20" t="e">
        <f>+(final_results!I104-Raw_Financials!I104)/Raw_Financials!I104</f>
        <v>#DIV/0!</v>
      </c>
      <c r="J104" s="20" t="e">
        <f>+(final_results!J104-Raw_Financials!J104)/Raw_Financials!J104</f>
        <v>#DIV/0!</v>
      </c>
      <c r="K104" s="20" t="e">
        <f>+(final_results!K104-Raw_Financials!K104)/Raw_Financials!K104</f>
        <v>#DIV/0!</v>
      </c>
    </row>
    <row r="105" spans="1:11">
      <c r="A105" s="6" t="s">
        <v>103</v>
      </c>
      <c r="B105" s="20" t="e">
        <f>+(final_results!B105-Raw_Financials!B105)/Raw_Financials!B105</f>
        <v>#DIV/0!</v>
      </c>
      <c r="C105" s="20" t="e">
        <f>+(final_results!C105-Raw_Financials!C105)/Raw_Financials!C105</f>
        <v>#DIV/0!</v>
      </c>
      <c r="D105" s="20" t="e">
        <f>+(final_results!D105-Raw_Financials!D105)/Raw_Financials!D105</f>
        <v>#DIV/0!</v>
      </c>
      <c r="E105" s="20" t="e">
        <f>+(final_results!E105-Raw_Financials!E105)/Raw_Financials!E105</f>
        <v>#DIV/0!</v>
      </c>
      <c r="F105" s="20" t="e">
        <f>+(final_results!F105-Raw_Financials!F105)/Raw_Financials!F105</f>
        <v>#DIV/0!</v>
      </c>
      <c r="G105" s="20" t="e">
        <f>+(final_results!G105-Raw_Financials!G105)/Raw_Financials!G105</f>
        <v>#DIV/0!</v>
      </c>
      <c r="H105" s="20" t="e">
        <f>+(final_results!H105-Raw_Financials!H105)/Raw_Financials!H105</f>
        <v>#DIV/0!</v>
      </c>
      <c r="I105" s="20" t="e">
        <f>+(final_results!I105-Raw_Financials!I105)/Raw_Financials!I105</f>
        <v>#DIV/0!</v>
      </c>
      <c r="J105" s="20" t="e">
        <f>+(final_results!J105-Raw_Financials!J105)/Raw_Financials!J105</f>
        <v>#DIV/0!</v>
      </c>
      <c r="K105" s="20" t="e">
        <f>+(final_results!K105-Raw_Financials!K105)/Raw_Financials!K105</f>
        <v>#DIV/0!</v>
      </c>
    </row>
    <row r="106" spans="1:11">
      <c r="A106" s="5" t="s">
        <v>104</v>
      </c>
      <c r="B106" s="20" t="e">
        <f>+(final_results!B106-Raw_Financials!B106)/Raw_Financials!B106</f>
        <v>#DIV/0!</v>
      </c>
      <c r="C106" s="20" t="e">
        <f>+(final_results!C106-Raw_Financials!C106)/Raw_Financials!C106</f>
        <v>#DIV/0!</v>
      </c>
      <c r="D106" s="20" t="e">
        <f>+(final_results!D106-Raw_Financials!D106)/Raw_Financials!D106</f>
        <v>#DIV/0!</v>
      </c>
      <c r="E106" s="20" t="e">
        <f>+(final_results!E106-Raw_Financials!E106)/Raw_Financials!E106</f>
        <v>#DIV/0!</v>
      </c>
      <c r="F106" s="20" t="e">
        <f>+(final_results!F106-Raw_Financials!F106)/Raw_Financials!F106</f>
        <v>#DIV/0!</v>
      </c>
      <c r="G106" s="20" t="e">
        <f>+(final_results!G106-Raw_Financials!G106)/Raw_Financials!G106</f>
        <v>#DIV/0!</v>
      </c>
      <c r="H106" s="20" t="e">
        <f>+(final_results!H106-Raw_Financials!H106)/Raw_Financials!H106</f>
        <v>#DIV/0!</v>
      </c>
      <c r="I106" s="20" t="e">
        <f>+(final_results!I106-Raw_Financials!I106)/Raw_Financials!I106</f>
        <v>#DIV/0!</v>
      </c>
      <c r="J106" s="20" t="e">
        <f>+(final_results!J106-Raw_Financials!J106)/Raw_Financials!J106</f>
        <v>#DIV/0!</v>
      </c>
      <c r="K106" s="20" t="e">
        <f>+(final_results!K106-Raw_Financials!K106)/Raw_Financials!K106</f>
        <v>#DIV/0!</v>
      </c>
    </row>
    <row r="107" spans="1:11">
      <c r="A107" s="6" t="s">
        <v>105</v>
      </c>
      <c r="B107" s="20">
        <f>+(final_results!B107-Raw_Financials!B107)/Raw_Financials!B107</f>
        <v>-1</v>
      </c>
      <c r="C107" s="20" t="e">
        <f>+(final_results!C107-Raw_Financials!C107)/Raw_Financials!C107</f>
        <v>#DIV/0!</v>
      </c>
      <c r="D107" s="20" t="e">
        <f>+(final_results!D107-Raw_Financials!D107)/Raw_Financials!D107</f>
        <v>#DIV/0!</v>
      </c>
      <c r="E107" s="20" t="e">
        <f>+(final_results!E107-Raw_Financials!E107)/Raw_Financials!E107</f>
        <v>#DIV/0!</v>
      </c>
      <c r="F107" s="20" t="e">
        <f>+(final_results!F107-Raw_Financials!F107)/Raw_Financials!F107</f>
        <v>#DIV/0!</v>
      </c>
      <c r="G107" s="20" t="e">
        <f>+(final_results!G107-Raw_Financials!G107)/Raw_Financials!G107</f>
        <v>#DIV/0!</v>
      </c>
      <c r="H107" s="20" t="e">
        <f>+(final_results!H107-Raw_Financials!H107)/Raw_Financials!H107</f>
        <v>#DIV/0!</v>
      </c>
      <c r="I107" s="20" t="e">
        <f>+(final_results!I107-Raw_Financials!I107)/Raw_Financials!I107</f>
        <v>#DIV/0!</v>
      </c>
      <c r="J107" s="20" t="e">
        <f>+(final_results!J107-Raw_Financials!J107)/Raw_Financials!J107</f>
        <v>#DIV/0!</v>
      </c>
      <c r="K107" s="20" t="e">
        <f>+(final_results!K107-Raw_Financials!K107)/Raw_Financials!K107</f>
        <v>#DIV/0!</v>
      </c>
    </row>
    <row r="108" spans="1:11">
      <c r="A108" s="7" t="s">
        <v>106</v>
      </c>
      <c r="B108" s="20">
        <f>+(final_results!B108-Raw_Financials!B108)/Raw_Financials!B108</f>
        <v>0</v>
      </c>
      <c r="C108" s="20">
        <f>+(final_results!C108-Raw_Financials!C108)/Raw_Financials!C108</f>
        <v>0</v>
      </c>
      <c r="D108" s="20">
        <f>+(final_results!D108-Raw_Financials!D108)/Raw_Financials!D108</f>
        <v>0</v>
      </c>
      <c r="E108" s="20">
        <f>+(final_results!E108-Raw_Financials!E108)/Raw_Financials!E108</f>
        <v>0</v>
      </c>
      <c r="F108" s="20">
        <f>+(final_results!F108-Raw_Financials!F108)/Raw_Financials!F108</f>
        <v>0</v>
      </c>
      <c r="G108" s="20">
        <f>+(final_results!G108-Raw_Financials!G108)/Raw_Financials!G108</f>
        <v>0</v>
      </c>
      <c r="H108" s="20">
        <f>+(final_results!H108-Raw_Financials!H108)/Raw_Financials!H108</f>
        <v>0</v>
      </c>
      <c r="I108" s="20">
        <f>+(final_results!I108-Raw_Financials!I108)/Raw_Financials!I108</f>
        <v>1.4495957042583715E-16</v>
      </c>
      <c r="J108" s="20">
        <f>+(final_results!J108-Raw_Financials!J108)/Raw_Financials!J108</f>
        <v>0</v>
      </c>
      <c r="K108" s="20">
        <f>+(final_results!K108-Raw_Financials!K108)/Raw_Financials!K108</f>
        <v>0</v>
      </c>
    </row>
    <row r="109" spans="1:11">
      <c r="A109" s="6" t="s">
        <v>107</v>
      </c>
      <c r="B109" s="20">
        <f>+(final_results!B109-Raw_Financials!B109)/Raw_Financials!B109</f>
        <v>-1</v>
      </c>
      <c r="C109" s="20" t="e">
        <f>+(final_results!C109-Raw_Financials!C109)/Raw_Financials!C109</f>
        <v>#DIV/0!</v>
      </c>
      <c r="D109" s="20" t="e">
        <f>+(final_results!D109-Raw_Financials!D109)/Raw_Financials!D109</f>
        <v>#DIV/0!</v>
      </c>
      <c r="E109" s="20" t="e">
        <f>+(final_results!E109-Raw_Financials!E109)/Raw_Financials!E109</f>
        <v>#DIV/0!</v>
      </c>
      <c r="F109" s="20" t="e">
        <f>+(final_results!F109-Raw_Financials!F109)/Raw_Financials!F109</f>
        <v>#DIV/0!</v>
      </c>
      <c r="G109" s="20" t="e">
        <f>+(final_results!G109-Raw_Financials!G109)/Raw_Financials!G109</f>
        <v>#DIV/0!</v>
      </c>
      <c r="H109" s="20" t="e">
        <f>+(final_results!H109-Raw_Financials!H109)/Raw_Financials!H109</f>
        <v>#DIV/0!</v>
      </c>
      <c r="I109" s="20" t="e">
        <f>+(final_results!I109-Raw_Financials!I109)/Raw_Financials!I109</f>
        <v>#DIV/0!</v>
      </c>
      <c r="J109" s="20" t="e">
        <f>+(final_results!J109-Raw_Financials!J109)/Raw_Financials!J109</f>
        <v>#DIV/0!</v>
      </c>
      <c r="K109" s="20" t="e">
        <f>+(final_results!K109-Raw_Financials!K109)/Raw_Financials!K109</f>
        <v>#DIV/0!</v>
      </c>
    </row>
    <row r="110" spans="1:11">
      <c r="A110" s="5" t="s">
        <v>108</v>
      </c>
      <c r="B110" s="20">
        <f>+(final_results!B110-Raw_Financials!B110)/Raw_Financials!B110</f>
        <v>1.2949872052851851E-16</v>
      </c>
      <c r="C110" s="20">
        <f>+(final_results!C110-Raw_Financials!C110)/Raw_Financials!C110</f>
        <v>0</v>
      </c>
      <c r="D110" s="20">
        <f>+(final_results!D110-Raw_Financials!D110)/Raw_Financials!D110</f>
        <v>0</v>
      </c>
      <c r="E110" s="20">
        <f>+(final_results!E110-Raw_Financials!E110)/Raw_Financials!E110</f>
        <v>0</v>
      </c>
      <c r="F110" s="20">
        <f>+(final_results!F110-Raw_Financials!F110)/Raw_Financials!F110</f>
        <v>0</v>
      </c>
      <c r="G110" s="20">
        <f>+(final_results!G110-Raw_Financials!G110)/Raw_Financials!G110</f>
        <v>0</v>
      </c>
      <c r="H110" s="20">
        <f>+(final_results!H110-Raw_Financials!H110)/Raw_Financials!H110</f>
        <v>0</v>
      </c>
      <c r="I110" s="20">
        <f>+(final_results!I110-Raw_Financials!I110)/Raw_Financials!I110</f>
        <v>-1.6062437447100941E-16</v>
      </c>
      <c r="J110" s="20">
        <f>+(final_results!J110-Raw_Financials!J110)/Raw_Financials!J110</f>
        <v>0</v>
      </c>
      <c r="K110" s="20">
        <f>+(final_results!K110-Raw_Financials!K110)/Raw_Financials!K110</f>
        <v>0</v>
      </c>
    </row>
    <row r="111" spans="1:11">
      <c r="A111" s="7" t="s">
        <v>109</v>
      </c>
      <c r="B111" s="20">
        <f>+(final_results!B111-Raw_Financials!B111)/Raw_Financials!B111</f>
        <v>0</v>
      </c>
      <c r="C111" s="20">
        <f>+(final_results!C111-Raw_Financials!C111)/Raw_Financials!C111</f>
        <v>0</v>
      </c>
      <c r="D111" s="20">
        <f>+(final_results!D111-Raw_Financials!D111)/Raw_Financials!D111</f>
        <v>0</v>
      </c>
      <c r="E111" s="20">
        <f>+(final_results!E111-Raw_Financials!E111)/Raw_Financials!E111</f>
        <v>0</v>
      </c>
      <c r="F111" s="20">
        <f>+(final_results!F111-Raw_Financials!F111)/Raw_Financials!F111</f>
        <v>0</v>
      </c>
      <c r="G111" s="20">
        <f>+(final_results!G111-Raw_Financials!G111)/Raw_Financials!G111</f>
        <v>0</v>
      </c>
      <c r="H111" s="20">
        <f>+(final_results!H111-Raw_Financials!H111)/Raw_Financials!H111</f>
        <v>0</v>
      </c>
      <c r="I111" s="20">
        <f>+(final_results!I111-Raw_Financials!I111)/Raw_Financials!I111</f>
        <v>-1.6062437447100941E-16</v>
      </c>
      <c r="J111" s="20">
        <f>+(final_results!J111-Raw_Financials!J111)/Raw_Financials!J111</f>
        <v>0</v>
      </c>
      <c r="K111" s="20">
        <f>+(final_results!K111-Raw_Financials!K111)/Raw_Financials!K111</f>
        <v>0</v>
      </c>
    </row>
    <row r="112" spans="1:11">
      <c r="A112" s="5" t="s">
        <v>110</v>
      </c>
      <c r="B112" s="20" t="e">
        <f>+(final_results!B112-Raw_Financials!B112)/Raw_Financials!B112</f>
        <v>#DIV/0!</v>
      </c>
      <c r="C112" s="20">
        <f>+(final_results!C112-Raw_Financials!C112)/Raw_Financials!C112</f>
        <v>-0.58611583069654105</v>
      </c>
      <c r="D112" s="20" t="e">
        <f>+(final_results!D112-Raw_Financials!D112)/Raw_Financials!D112</f>
        <v>#DIV/0!</v>
      </c>
      <c r="E112" s="20">
        <f>+(final_results!E112-Raw_Financials!E112)/Raw_Financials!E112</f>
        <v>0</v>
      </c>
      <c r="F112" s="20">
        <f>+(final_results!F112-Raw_Financials!F112)/Raw_Financials!F112</f>
        <v>-0.12672514689311873</v>
      </c>
      <c r="G112" s="20" t="e">
        <f>+(final_results!G112-Raw_Financials!G112)/Raw_Financials!G112</f>
        <v>#DIV/0!</v>
      </c>
      <c r="H112" s="20" t="e">
        <f>+(final_results!H112-Raw_Financials!H112)/Raw_Financials!H112</f>
        <v>#DIV/0!</v>
      </c>
      <c r="I112" s="20" t="e">
        <f>+(final_results!I112-Raw_Financials!I112)/Raw_Financials!I112</f>
        <v>#DIV/0!</v>
      </c>
      <c r="J112" s="20" t="e">
        <f>+(final_results!J112-Raw_Financials!J112)/Raw_Financials!J112</f>
        <v>#DIV/0!</v>
      </c>
      <c r="K112" s="20" t="e">
        <f>+(final_results!K112-Raw_Financials!K112)/Raw_Financials!K112</f>
        <v>#DIV/0!</v>
      </c>
    </row>
    <row r="113" spans="1:11">
      <c r="A113" s="6" t="s">
        <v>111</v>
      </c>
      <c r="B113" s="20" t="e">
        <f>+(final_results!B113-Raw_Financials!B113)/Raw_Financials!B113</f>
        <v>#DIV/0!</v>
      </c>
      <c r="C113" s="20" t="e">
        <f>+(final_results!C113-Raw_Financials!C113)/Raw_Financials!C113</f>
        <v>#DIV/0!</v>
      </c>
      <c r="D113" s="20" t="e">
        <f>+(final_results!D113-Raw_Financials!D113)/Raw_Financials!D113</f>
        <v>#DIV/0!</v>
      </c>
      <c r="E113" s="20" t="e">
        <f>+(final_results!E113-Raw_Financials!E113)/Raw_Financials!E113</f>
        <v>#DIV/0!</v>
      </c>
      <c r="F113" s="20" t="e">
        <f>+(final_results!F113-Raw_Financials!F113)/Raw_Financials!F113</f>
        <v>#DIV/0!</v>
      </c>
      <c r="G113" s="20" t="e">
        <f>+(final_results!G113-Raw_Financials!G113)/Raw_Financials!G113</f>
        <v>#DIV/0!</v>
      </c>
      <c r="H113" s="20" t="e">
        <f>+(final_results!H113-Raw_Financials!H113)/Raw_Financials!H113</f>
        <v>#DIV/0!</v>
      </c>
      <c r="I113" s="20" t="e">
        <f>+(final_results!I113-Raw_Financials!I113)/Raw_Financials!I113</f>
        <v>#DIV/0!</v>
      </c>
      <c r="J113" s="20" t="e">
        <f>+(final_results!J113-Raw_Financials!J113)/Raw_Financials!J113</f>
        <v>#DIV/0!</v>
      </c>
      <c r="K113" s="20" t="e">
        <f>+(final_results!K113-Raw_Financials!K113)/Raw_Financials!K113</f>
        <v>#DIV/0!</v>
      </c>
    </row>
    <row r="114" spans="1:11">
      <c r="A114" s="5" t="s">
        <v>112</v>
      </c>
      <c r="B114" s="20" t="e">
        <f>+(final_results!B114-Raw_Financials!B114)/Raw_Financials!B114</f>
        <v>#DIV/0!</v>
      </c>
      <c r="C114" s="20" t="e">
        <f>+(final_results!C114-Raw_Financials!C114)/Raw_Financials!C114</f>
        <v>#DIV/0!</v>
      </c>
      <c r="D114" s="20" t="e">
        <f>+(final_results!D114-Raw_Financials!D114)/Raw_Financials!D114</f>
        <v>#DIV/0!</v>
      </c>
      <c r="E114" s="20" t="e">
        <f>+(final_results!E114-Raw_Financials!E114)/Raw_Financials!E114</f>
        <v>#DIV/0!</v>
      </c>
      <c r="F114" s="20" t="e">
        <f>+(final_results!F114-Raw_Financials!F114)/Raw_Financials!F114</f>
        <v>#DIV/0!</v>
      </c>
      <c r="G114" s="20" t="e">
        <f>+(final_results!G114-Raw_Financials!G114)/Raw_Financials!G114</f>
        <v>#DIV/0!</v>
      </c>
      <c r="H114" s="20" t="e">
        <f>+(final_results!H114-Raw_Financials!H114)/Raw_Financials!H114</f>
        <v>#DIV/0!</v>
      </c>
      <c r="I114" s="20" t="e">
        <f>+(final_results!I114-Raw_Financials!I114)/Raw_Financials!I114</f>
        <v>#DIV/0!</v>
      </c>
      <c r="J114" s="20" t="e">
        <f>+(final_results!J114-Raw_Financials!J114)/Raw_Financials!J114</f>
        <v>#DIV/0!</v>
      </c>
      <c r="K114" s="20" t="e">
        <f>+(final_results!K114-Raw_Financials!K114)/Raw_Financials!K114</f>
        <v>#DIV/0!</v>
      </c>
    </row>
    <row r="115" spans="1:11">
      <c r="A115" s="6" t="s">
        <v>113</v>
      </c>
      <c r="B115" s="20">
        <f>+(final_results!B115-Raw_Financials!B115)/Raw_Financials!B115</f>
        <v>0</v>
      </c>
      <c r="C115" s="20">
        <f>+(final_results!C115-Raw_Financials!C115)/Raw_Financials!C115</f>
        <v>0</v>
      </c>
      <c r="D115" s="20">
        <f>+(final_results!D115-Raw_Financials!D115)/Raw_Financials!D115</f>
        <v>0</v>
      </c>
      <c r="E115" s="20">
        <f>+(final_results!E115-Raw_Financials!E115)/Raw_Financials!E115</f>
        <v>0</v>
      </c>
      <c r="F115" s="20">
        <f>+(final_results!F115-Raw_Financials!F115)/Raw_Financials!F115</f>
        <v>0</v>
      </c>
      <c r="G115" s="20">
        <f>+(final_results!G115-Raw_Financials!G115)/Raw_Financials!G115</f>
        <v>0</v>
      </c>
      <c r="H115" s="20">
        <f>+(final_results!H115-Raw_Financials!H115)/Raw_Financials!H115</f>
        <v>1.2756229926148477E-16</v>
      </c>
      <c r="I115" s="20" t="e">
        <f>+(final_results!I115-Raw_Financials!I115)/Raw_Financials!I115</f>
        <v>#DIV/0!</v>
      </c>
      <c r="J115" s="20" t="e">
        <f>+(final_results!J115-Raw_Financials!J115)/Raw_Financials!J115</f>
        <v>#DIV/0!</v>
      </c>
      <c r="K115" s="20" t="e">
        <f>+(final_results!K115-Raw_Financials!K115)/Raw_Financials!K115</f>
        <v>#DIV/0!</v>
      </c>
    </row>
    <row r="116" spans="1:11">
      <c r="A116" s="5" t="s">
        <v>114</v>
      </c>
      <c r="B116" s="20">
        <f>+(final_results!B116-Raw_Financials!B116)/Raw_Financials!B116</f>
        <v>-1</v>
      </c>
      <c r="C116" s="20" t="e">
        <f>+(final_results!C116-Raw_Financials!C116)/Raw_Financials!C116</f>
        <v>#DIV/0!</v>
      </c>
      <c r="D116" s="20" t="e">
        <f>+(final_results!D116-Raw_Financials!D116)/Raw_Financials!D116</f>
        <v>#DIV/0!</v>
      </c>
      <c r="E116" s="20" t="e">
        <f>+(final_results!E116-Raw_Financials!E116)/Raw_Financials!E116</f>
        <v>#DIV/0!</v>
      </c>
      <c r="F116" s="20" t="e">
        <f>+(final_results!F116-Raw_Financials!F116)/Raw_Financials!F116</f>
        <v>#DIV/0!</v>
      </c>
      <c r="G116" s="20" t="e">
        <f>+(final_results!G116-Raw_Financials!G116)/Raw_Financials!G116</f>
        <v>#DIV/0!</v>
      </c>
      <c r="H116" s="20" t="e">
        <f>+(final_results!H116-Raw_Financials!H116)/Raw_Financials!H116</f>
        <v>#DIV/0!</v>
      </c>
      <c r="I116" s="20" t="e">
        <f>+(final_results!I116-Raw_Financials!I116)/Raw_Financials!I116</f>
        <v>#DIV/0!</v>
      </c>
      <c r="J116" s="20" t="e">
        <f>+(final_results!J116-Raw_Financials!J116)/Raw_Financials!J116</f>
        <v>#DIV/0!</v>
      </c>
      <c r="K116" s="20" t="e">
        <f>+(final_results!K116-Raw_Financials!K116)/Raw_Financials!K116</f>
        <v>#DIV/0!</v>
      </c>
    </row>
    <row r="117" spans="1:11">
      <c r="A117" s="6" t="s">
        <v>115</v>
      </c>
      <c r="B117" s="20" t="e">
        <f>+(final_results!B117-Raw_Financials!B117)/Raw_Financials!B117</f>
        <v>#DIV/0!</v>
      </c>
      <c r="C117" s="20" t="e">
        <f>+(final_results!C117-Raw_Financials!C117)/Raw_Financials!C117</f>
        <v>#DIV/0!</v>
      </c>
      <c r="D117" s="20" t="e">
        <f>+(final_results!D117-Raw_Financials!D117)/Raw_Financials!D117</f>
        <v>#DIV/0!</v>
      </c>
      <c r="E117" s="20" t="e">
        <f>+(final_results!E117-Raw_Financials!E117)/Raw_Financials!E117</f>
        <v>#DIV/0!</v>
      </c>
      <c r="F117" s="20" t="e">
        <f>+(final_results!F117-Raw_Financials!F117)/Raw_Financials!F117</f>
        <v>#DIV/0!</v>
      </c>
      <c r="G117" s="20" t="e">
        <f>+(final_results!G117-Raw_Financials!G117)/Raw_Financials!G117</f>
        <v>#DIV/0!</v>
      </c>
      <c r="H117" s="20" t="e">
        <f>+(final_results!H117-Raw_Financials!H117)/Raw_Financials!H117</f>
        <v>#DIV/0!</v>
      </c>
      <c r="I117" s="20" t="e">
        <f>+(final_results!I117-Raw_Financials!I117)/Raw_Financials!I117</f>
        <v>#DIV/0!</v>
      </c>
      <c r="J117" s="20" t="e">
        <f>+(final_results!J117-Raw_Financials!J117)/Raw_Financials!J117</f>
        <v>#DIV/0!</v>
      </c>
      <c r="K117" s="20" t="e">
        <f>+(final_results!K117-Raw_Financials!K117)/Raw_Financials!K117</f>
        <v>#DIV/0!</v>
      </c>
    </row>
    <row r="118" spans="1:11">
      <c r="A118" s="5" t="s">
        <v>116</v>
      </c>
      <c r="B118" s="20" t="e">
        <f>+(final_results!B118-Raw_Financials!B118)/Raw_Financials!B118</f>
        <v>#DIV/0!</v>
      </c>
      <c r="C118" s="20" t="e">
        <f>+(final_results!C118-Raw_Financials!C118)/Raw_Financials!C118</f>
        <v>#DIV/0!</v>
      </c>
      <c r="D118" s="20" t="e">
        <f>+(final_results!D118-Raw_Financials!D118)/Raw_Financials!D118</f>
        <v>#DIV/0!</v>
      </c>
      <c r="E118" s="20" t="e">
        <f>+(final_results!E118-Raw_Financials!E118)/Raw_Financials!E118</f>
        <v>#DIV/0!</v>
      </c>
      <c r="F118" s="20" t="e">
        <f>+(final_results!F118-Raw_Financials!F118)/Raw_Financials!F118</f>
        <v>#DIV/0!</v>
      </c>
      <c r="G118" s="20" t="e">
        <f>+(final_results!G118-Raw_Financials!G118)/Raw_Financials!G118</f>
        <v>#DIV/0!</v>
      </c>
      <c r="H118" s="20" t="e">
        <f>+(final_results!H118-Raw_Financials!H118)/Raw_Financials!H118</f>
        <v>#DIV/0!</v>
      </c>
      <c r="I118" s="20" t="e">
        <f>+(final_results!I118-Raw_Financials!I118)/Raw_Financials!I118</f>
        <v>#DIV/0!</v>
      </c>
      <c r="J118" s="20" t="e">
        <f>+(final_results!J118-Raw_Financials!J118)/Raw_Financials!J118</f>
        <v>#DIV/0!</v>
      </c>
      <c r="K118" s="20" t="e">
        <f>+(final_results!K118-Raw_Financials!K118)/Raw_Financials!K118</f>
        <v>#DIV/0!</v>
      </c>
    </row>
    <row r="119" spans="1:11">
      <c r="A119" s="6" t="s">
        <v>117</v>
      </c>
      <c r="B119" s="20" t="e">
        <f>+(final_results!B119-Raw_Financials!B119)/Raw_Financials!B119</f>
        <v>#DIV/0!</v>
      </c>
      <c r="C119" s="20" t="e">
        <f>+(final_results!C119-Raw_Financials!C119)/Raw_Financials!C119</f>
        <v>#DIV/0!</v>
      </c>
      <c r="D119" s="20" t="e">
        <f>+(final_results!D119-Raw_Financials!D119)/Raw_Financials!D119</f>
        <v>#DIV/0!</v>
      </c>
      <c r="E119" s="20" t="e">
        <f>+(final_results!E119-Raw_Financials!E119)/Raw_Financials!E119</f>
        <v>#DIV/0!</v>
      </c>
      <c r="F119" s="20" t="e">
        <f>+(final_results!F119-Raw_Financials!F119)/Raw_Financials!F119</f>
        <v>#DIV/0!</v>
      </c>
      <c r="G119" s="20" t="e">
        <f>+(final_results!G119-Raw_Financials!G119)/Raw_Financials!G119</f>
        <v>#DIV/0!</v>
      </c>
      <c r="H119" s="20" t="e">
        <f>+(final_results!H119-Raw_Financials!H119)/Raw_Financials!H119</f>
        <v>#DIV/0!</v>
      </c>
      <c r="I119" s="20" t="e">
        <f>+(final_results!I119-Raw_Financials!I119)/Raw_Financials!I119</f>
        <v>#DIV/0!</v>
      </c>
      <c r="J119" s="20" t="e">
        <f>+(final_results!J119-Raw_Financials!J119)/Raw_Financials!J119</f>
        <v>#DIV/0!</v>
      </c>
      <c r="K119" s="20" t="e">
        <f>+(final_results!K119-Raw_Financials!K119)/Raw_Financials!K119</f>
        <v>#DIV/0!</v>
      </c>
    </row>
    <row r="120" spans="1:11">
      <c r="A120" s="5" t="s">
        <v>118</v>
      </c>
      <c r="B120" s="20" t="e">
        <f>+(final_results!B120-Raw_Financials!B120)/Raw_Financials!B120</f>
        <v>#DIV/0!</v>
      </c>
      <c r="C120" s="20" t="e">
        <f>+(final_results!C120-Raw_Financials!C120)/Raw_Financials!C120</f>
        <v>#DIV/0!</v>
      </c>
      <c r="D120" s="20" t="e">
        <f>+(final_results!D120-Raw_Financials!D120)/Raw_Financials!D120</f>
        <v>#DIV/0!</v>
      </c>
      <c r="E120" s="20" t="e">
        <f>+(final_results!E120-Raw_Financials!E120)/Raw_Financials!E120</f>
        <v>#DIV/0!</v>
      </c>
      <c r="F120" s="20" t="e">
        <f>+(final_results!F120-Raw_Financials!F120)/Raw_Financials!F120</f>
        <v>#DIV/0!</v>
      </c>
      <c r="G120" s="20" t="e">
        <f>+(final_results!G120-Raw_Financials!G120)/Raw_Financials!G120</f>
        <v>#DIV/0!</v>
      </c>
      <c r="H120" s="20" t="e">
        <f>+(final_results!H120-Raw_Financials!H120)/Raw_Financials!H120</f>
        <v>#DIV/0!</v>
      </c>
      <c r="I120" s="20" t="e">
        <f>+(final_results!I120-Raw_Financials!I120)/Raw_Financials!I120</f>
        <v>#DIV/0!</v>
      </c>
      <c r="J120" s="20" t="e">
        <f>+(final_results!J120-Raw_Financials!J120)/Raw_Financials!J120</f>
        <v>#DIV/0!</v>
      </c>
      <c r="K120" s="20" t="e">
        <f>+(final_results!K120-Raw_Financials!K120)/Raw_Financials!K120</f>
        <v>#DIV/0!</v>
      </c>
    </row>
    <row r="121" spans="1:11">
      <c r="A121" s="6" t="s">
        <v>119</v>
      </c>
      <c r="B121" s="20" t="e">
        <f>+(final_results!B121-Raw_Financials!B121)/Raw_Financials!B121</f>
        <v>#DIV/0!</v>
      </c>
      <c r="C121" s="20" t="e">
        <f>+(final_results!C121-Raw_Financials!C121)/Raw_Financials!C121</f>
        <v>#DIV/0!</v>
      </c>
      <c r="D121" s="20" t="e">
        <f>+(final_results!D121-Raw_Financials!D121)/Raw_Financials!D121</f>
        <v>#DIV/0!</v>
      </c>
      <c r="E121" s="20" t="e">
        <f>+(final_results!E121-Raw_Financials!E121)/Raw_Financials!E121</f>
        <v>#DIV/0!</v>
      </c>
      <c r="F121" s="20" t="e">
        <f>+(final_results!F121-Raw_Financials!F121)/Raw_Financials!F121</f>
        <v>#DIV/0!</v>
      </c>
      <c r="G121" s="20" t="e">
        <f>+(final_results!G121-Raw_Financials!G121)/Raw_Financials!G121</f>
        <v>#DIV/0!</v>
      </c>
      <c r="H121" s="20" t="e">
        <f>+(final_results!H121-Raw_Financials!H121)/Raw_Financials!H121</f>
        <v>#DIV/0!</v>
      </c>
      <c r="I121" s="20" t="e">
        <f>+(final_results!I121-Raw_Financials!I121)/Raw_Financials!I121</f>
        <v>#DIV/0!</v>
      </c>
      <c r="J121" s="20" t="e">
        <f>+(final_results!J121-Raw_Financials!J121)/Raw_Financials!J121</f>
        <v>#DIV/0!</v>
      </c>
      <c r="K121" s="20" t="e">
        <f>+(final_results!K121-Raw_Financials!K121)/Raw_Financials!K121</f>
        <v>#DIV/0!</v>
      </c>
    </row>
    <row r="122" spans="1:11">
      <c r="A122" s="7" t="s">
        <v>120</v>
      </c>
      <c r="B122" s="20">
        <f>+(final_results!B122-Raw_Financials!B122)/Raw_Financials!B122</f>
        <v>-0.14849772293854099</v>
      </c>
      <c r="C122" s="20">
        <f>+(final_results!C122-Raw_Financials!C122)/Raw_Financials!C122</f>
        <v>0</v>
      </c>
      <c r="D122" s="20">
        <f>+(final_results!D122-Raw_Financials!D122)/Raw_Financials!D122</f>
        <v>0</v>
      </c>
      <c r="E122" s="20">
        <f>+(final_results!E122-Raw_Financials!E122)/Raw_Financials!E122</f>
        <v>0</v>
      </c>
      <c r="F122" s="20">
        <f>+(final_results!F122-Raw_Financials!F122)/Raw_Financials!F122</f>
        <v>0</v>
      </c>
      <c r="G122" s="20">
        <f>+(final_results!G122-Raw_Financials!G122)/Raw_Financials!G122</f>
        <v>0</v>
      </c>
      <c r="H122" s="20">
        <f>+(final_results!H122-Raw_Financials!H122)/Raw_Financials!H122</f>
        <v>1.2756229926148477E-16</v>
      </c>
      <c r="I122" s="20" t="e">
        <f>+(final_results!I122-Raw_Financials!I122)/Raw_Financials!I122</f>
        <v>#DIV/0!</v>
      </c>
      <c r="J122" s="20" t="e">
        <f>+(final_results!J122-Raw_Financials!J122)/Raw_Financials!J122</f>
        <v>#DIV/0!</v>
      </c>
      <c r="K122" s="20" t="e">
        <f>+(final_results!K122-Raw_Financials!K122)/Raw_Financials!K122</f>
        <v>#DIV/0!</v>
      </c>
    </row>
    <row r="123" spans="1:11">
      <c r="A123" s="6" t="s">
        <v>121</v>
      </c>
      <c r="B123" s="20">
        <f>+(final_results!B123-Raw_Financials!B123)/Raw_Financials!B123</f>
        <v>0</v>
      </c>
      <c r="C123" s="20">
        <f>+(final_results!C123-Raw_Financials!C123)/Raw_Financials!C123</f>
        <v>0</v>
      </c>
      <c r="D123" s="20">
        <f>+(final_results!D123-Raw_Financials!D123)/Raw_Financials!D123</f>
        <v>0</v>
      </c>
      <c r="E123" s="20">
        <f>+(final_results!E123-Raw_Financials!E123)/Raw_Financials!E123</f>
        <v>0</v>
      </c>
      <c r="F123" s="20">
        <f>+(final_results!F123-Raw_Financials!F123)/Raw_Financials!F123</f>
        <v>0</v>
      </c>
      <c r="G123" s="20" t="e">
        <f>+(final_results!G123-Raw_Financials!G123)/Raw_Financials!G123</f>
        <v>#DIV/0!</v>
      </c>
      <c r="H123" s="20">
        <f>+(final_results!H123-Raw_Financials!H123)/Raw_Financials!H123</f>
        <v>0</v>
      </c>
      <c r="I123" s="20">
        <f>+(final_results!I123-Raw_Financials!I123)/Raw_Financials!I123</f>
        <v>0</v>
      </c>
      <c r="J123" s="20">
        <f>+(final_results!J123-Raw_Financials!J123)/Raw_Financials!J123</f>
        <v>0</v>
      </c>
      <c r="K123" s="20" t="e">
        <f>+(final_results!K123-Raw_Financials!K123)/Raw_Financials!K123</f>
        <v>#DIV/0!</v>
      </c>
    </row>
    <row r="124" spans="1:11">
      <c r="A124" s="5" t="s">
        <v>122</v>
      </c>
      <c r="B124" s="20" t="e">
        <f>+(final_results!B124-Raw_Financials!B124)/Raw_Financials!B124</f>
        <v>#DIV/0!</v>
      </c>
      <c r="C124" s="20" t="e">
        <f>+(final_results!C124-Raw_Financials!C124)/Raw_Financials!C124</f>
        <v>#DIV/0!</v>
      </c>
      <c r="D124" s="20" t="e">
        <f>+(final_results!D124-Raw_Financials!D124)/Raw_Financials!D124</f>
        <v>#DIV/0!</v>
      </c>
      <c r="E124" s="20" t="e">
        <f>+(final_results!E124-Raw_Financials!E124)/Raw_Financials!E124</f>
        <v>#DIV/0!</v>
      </c>
      <c r="F124" s="20" t="e">
        <f>+(final_results!F124-Raw_Financials!F124)/Raw_Financials!F124</f>
        <v>#DIV/0!</v>
      </c>
      <c r="G124" s="20" t="e">
        <f>+(final_results!G124-Raw_Financials!G124)/Raw_Financials!G124</f>
        <v>#DIV/0!</v>
      </c>
      <c r="H124" s="20" t="e">
        <f>+(final_results!H124-Raw_Financials!H124)/Raw_Financials!H124</f>
        <v>#DIV/0!</v>
      </c>
      <c r="I124" s="20" t="e">
        <f>+(final_results!I124-Raw_Financials!I124)/Raw_Financials!I124</f>
        <v>#DIV/0!</v>
      </c>
      <c r="J124" s="20" t="e">
        <f>+(final_results!J124-Raw_Financials!J124)/Raw_Financials!J124</f>
        <v>#DIV/0!</v>
      </c>
      <c r="K124" s="20" t="e">
        <f>+(final_results!K124-Raw_Financials!K124)/Raw_Financials!K124</f>
        <v>#DIV/0!</v>
      </c>
    </row>
    <row r="125" spans="1:11">
      <c r="A125" s="6" t="s">
        <v>123</v>
      </c>
      <c r="B125" s="20" t="e">
        <f>+(final_results!B125-Raw_Financials!B125)/Raw_Financials!B125</f>
        <v>#DIV/0!</v>
      </c>
      <c r="C125" s="20" t="e">
        <f>+(final_results!C125-Raw_Financials!C125)/Raw_Financials!C125</f>
        <v>#DIV/0!</v>
      </c>
      <c r="D125" s="20" t="e">
        <f>+(final_results!D125-Raw_Financials!D125)/Raw_Financials!D125</f>
        <v>#DIV/0!</v>
      </c>
      <c r="E125" s="20" t="e">
        <f>+(final_results!E125-Raw_Financials!E125)/Raw_Financials!E125</f>
        <v>#DIV/0!</v>
      </c>
      <c r="F125" s="20" t="e">
        <f>+(final_results!F125-Raw_Financials!F125)/Raw_Financials!F125</f>
        <v>#DIV/0!</v>
      </c>
      <c r="G125" s="20" t="e">
        <f>+(final_results!G125-Raw_Financials!G125)/Raw_Financials!G125</f>
        <v>#DIV/0!</v>
      </c>
      <c r="H125" s="20" t="e">
        <f>+(final_results!H125-Raw_Financials!H125)/Raw_Financials!H125</f>
        <v>#DIV/0!</v>
      </c>
      <c r="I125" s="20" t="e">
        <f>+(final_results!I125-Raw_Financials!I125)/Raw_Financials!I125</f>
        <v>#DIV/0!</v>
      </c>
      <c r="J125" s="20" t="e">
        <f>+(final_results!J125-Raw_Financials!J125)/Raw_Financials!J125</f>
        <v>#DIV/0!</v>
      </c>
      <c r="K125" s="20" t="e">
        <f>+(final_results!K125-Raw_Financials!K125)/Raw_Financials!K125</f>
        <v>#DIV/0!</v>
      </c>
    </row>
    <row r="126" spans="1:11">
      <c r="A126" s="5" t="s">
        <v>124</v>
      </c>
      <c r="B126" s="20" t="e">
        <f>+(final_results!B126-Raw_Financials!B126)/Raw_Financials!B126</f>
        <v>#DIV/0!</v>
      </c>
      <c r="C126" s="20" t="e">
        <f>+(final_results!C126-Raw_Financials!C126)/Raw_Financials!C126</f>
        <v>#DIV/0!</v>
      </c>
      <c r="D126" s="20" t="e">
        <f>+(final_results!D126-Raw_Financials!D126)/Raw_Financials!D126</f>
        <v>#DIV/0!</v>
      </c>
      <c r="E126" s="20" t="e">
        <f>+(final_results!E126-Raw_Financials!E126)/Raw_Financials!E126</f>
        <v>#DIV/0!</v>
      </c>
      <c r="F126" s="20" t="e">
        <f>+(final_results!F126-Raw_Financials!F126)/Raw_Financials!F126</f>
        <v>#DIV/0!</v>
      </c>
      <c r="G126" s="20" t="e">
        <f>+(final_results!G126-Raw_Financials!G126)/Raw_Financials!G126</f>
        <v>#DIV/0!</v>
      </c>
      <c r="H126" s="20" t="e">
        <f>+(final_results!H126-Raw_Financials!H126)/Raw_Financials!H126</f>
        <v>#DIV/0!</v>
      </c>
      <c r="I126" s="20" t="e">
        <f>+(final_results!I126-Raw_Financials!I126)/Raw_Financials!I126</f>
        <v>#DIV/0!</v>
      </c>
      <c r="J126" s="20" t="e">
        <f>+(final_results!J126-Raw_Financials!J126)/Raw_Financials!J126</f>
        <v>#DIV/0!</v>
      </c>
      <c r="K126" s="20" t="e">
        <f>+(final_results!K126-Raw_Financials!K126)/Raw_Financials!K126</f>
        <v>#DIV/0!</v>
      </c>
    </row>
    <row r="127" spans="1:11">
      <c r="A127" s="6" t="s">
        <v>125</v>
      </c>
      <c r="B127" s="20" t="e">
        <f>+(final_results!B127-Raw_Financials!B127)/Raw_Financials!B127</f>
        <v>#DIV/0!</v>
      </c>
      <c r="C127" s="20" t="e">
        <f>+(final_results!C127-Raw_Financials!C127)/Raw_Financials!C127</f>
        <v>#DIV/0!</v>
      </c>
      <c r="D127" s="20" t="e">
        <f>+(final_results!D127-Raw_Financials!D127)/Raw_Financials!D127</f>
        <v>#DIV/0!</v>
      </c>
      <c r="E127" s="20" t="e">
        <f>+(final_results!E127-Raw_Financials!E127)/Raw_Financials!E127</f>
        <v>#DIV/0!</v>
      </c>
      <c r="F127" s="20" t="e">
        <f>+(final_results!F127-Raw_Financials!F127)/Raw_Financials!F127</f>
        <v>#DIV/0!</v>
      </c>
      <c r="G127" s="20" t="e">
        <f>+(final_results!G127-Raw_Financials!G127)/Raw_Financials!G127</f>
        <v>#DIV/0!</v>
      </c>
      <c r="H127" s="20" t="e">
        <f>+(final_results!H127-Raw_Financials!H127)/Raw_Financials!H127</f>
        <v>#DIV/0!</v>
      </c>
      <c r="I127" s="20" t="e">
        <f>+(final_results!I127-Raw_Financials!I127)/Raw_Financials!I127</f>
        <v>#DIV/0!</v>
      </c>
      <c r="J127" s="20" t="e">
        <f>+(final_results!J127-Raw_Financials!J127)/Raw_Financials!J127</f>
        <v>#DIV/0!</v>
      </c>
      <c r="K127" s="20" t="e">
        <f>+(final_results!K127-Raw_Financials!K127)/Raw_Financials!K127</f>
        <v>#DIV/0!</v>
      </c>
    </row>
    <row r="128" spans="1:11">
      <c r="A128" s="5" t="s">
        <v>126</v>
      </c>
      <c r="B128" s="20" t="e">
        <f>+(final_results!B128-Raw_Financials!B128)/Raw_Financials!B128</f>
        <v>#DIV/0!</v>
      </c>
      <c r="C128" s="20" t="e">
        <f>+(final_results!C128-Raw_Financials!C128)/Raw_Financials!C128</f>
        <v>#DIV/0!</v>
      </c>
      <c r="D128" s="20" t="e">
        <f>+(final_results!D128-Raw_Financials!D128)/Raw_Financials!D128</f>
        <v>#DIV/0!</v>
      </c>
      <c r="E128" s="20" t="e">
        <f>+(final_results!E128-Raw_Financials!E128)/Raw_Financials!E128</f>
        <v>#DIV/0!</v>
      </c>
      <c r="F128" s="20" t="e">
        <f>+(final_results!F128-Raw_Financials!F128)/Raw_Financials!F128</f>
        <v>#DIV/0!</v>
      </c>
      <c r="G128" s="20" t="e">
        <f>+(final_results!G128-Raw_Financials!G128)/Raw_Financials!G128</f>
        <v>#DIV/0!</v>
      </c>
      <c r="H128" s="20" t="e">
        <f>+(final_results!H128-Raw_Financials!H128)/Raw_Financials!H128</f>
        <v>#DIV/0!</v>
      </c>
      <c r="I128" s="20" t="e">
        <f>+(final_results!I128-Raw_Financials!I128)/Raw_Financials!I128</f>
        <v>#DIV/0!</v>
      </c>
      <c r="J128" s="20" t="e">
        <f>+(final_results!J128-Raw_Financials!J128)/Raw_Financials!J128</f>
        <v>#DIV/0!</v>
      </c>
      <c r="K128" s="20" t="e">
        <f>+(final_results!K128-Raw_Financials!K128)/Raw_Financials!K128</f>
        <v>#DIV/0!</v>
      </c>
    </row>
    <row r="129" spans="1:11">
      <c r="A129" s="6" t="s">
        <v>127</v>
      </c>
      <c r="B129" s="20" t="e">
        <f>+(final_results!B129-Raw_Financials!B129)/Raw_Financials!B129</f>
        <v>#DIV/0!</v>
      </c>
      <c r="C129" s="20" t="e">
        <f>+(final_results!C129-Raw_Financials!C129)/Raw_Financials!C129</f>
        <v>#DIV/0!</v>
      </c>
      <c r="D129" s="20" t="e">
        <f>+(final_results!D129-Raw_Financials!D129)/Raw_Financials!D129</f>
        <v>#DIV/0!</v>
      </c>
      <c r="E129" s="20" t="e">
        <f>+(final_results!E129-Raw_Financials!E129)/Raw_Financials!E129</f>
        <v>#DIV/0!</v>
      </c>
      <c r="F129" s="20" t="e">
        <f>+(final_results!F129-Raw_Financials!F129)/Raw_Financials!F129</f>
        <v>#DIV/0!</v>
      </c>
      <c r="G129" s="20" t="e">
        <f>+(final_results!G129-Raw_Financials!G129)/Raw_Financials!G129</f>
        <v>#DIV/0!</v>
      </c>
      <c r="H129" s="20" t="e">
        <f>+(final_results!H129-Raw_Financials!H129)/Raw_Financials!H129</f>
        <v>#DIV/0!</v>
      </c>
      <c r="I129" s="20" t="e">
        <f>+(final_results!I129-Raw_Financials!I129)/Raw_Financials!I129</f>
        <v>#DIV/0!</v>
      </c>
      <c r="J129" s="20" t="e">
        <f>+(final_results!J129-Raw_Financials!J129)/Raw_Financials!J129</f>
        <v>#DIV/0!</v>
      </c>
      <c r="K129" s="20" t="e">
        <f>+(final_results!K129-Raw_Financials!K129)/Raw_Financials!K129</f>
        <v>#DIV/0!</v>
      </c>
    </row>
    <row r="130" spans="1:11">
      <c r="A130" s="5" t="s">
        <v>128</v>
      </c>
      <c r="B130" s="20">
        <f>+(final_results!B130-Raw_Financials!B130)/Raw_Financials!B130</f>
        <v>0</v>
      </c>
      <c r="C130" s="20" t="e">
        <f>+(final_results!C130-Raw_Financials!C130)/Raw_Financials!C130</f>
        <v>#DIV/0!</v>
      </c>
      <c r="D130" s="20" t="e">
        <f>+(final_results!D130-Raw_Financials!D130)/Raw_Financials!D130</f>
        <v>#DIV/0!</v>
      </c>
      <c r="E130" s="20" t="e">
        <f>+(final_results!E130-Raw_Financials!E130)/Raw_Financials!E130</f>
        <v>#DIV/0!</v>
      </c>
      <c r="F130" s="20" t="e">
        <f>+(final_results!F130-Raw_Financials!F130)/Raw_Financials!F130</f>
        <v>#DIV/0!</v>
      </c>
      <c r="G130" s="20">
        <f>+(final_results!G130-Raw_Financials!G130)/Raw_Financials!G130</f>
        <v>0</v>
      </c>
      <c r="H130" s="20">
        <f>+(final_results!H130-Raw_Financials!H130)/Raw_Financials!H130</f>
        <v>0</v>
      </c>
      <c r="I130" s="20">
        <f>+(final_results!I130-Raw_Financials!I130)/Raw_Financials!I130</f>
        <v>-1.1946170619538037E-16</v>
      </c>
      <c r="J130" s="20">
        <f>+(final_results!J130-Raw_Financials!J130)/Raw_Financials!J130</f>
        <v>0</v>
      </c>
      <c r="K130" s="20">
        <f>+(final_results!K130-Raw_Financials!K130)/Raw_Financials!K130</f>
        <v>0</v>
      </c>
    </row>
    <row r="131" spans="1:11">
      <c r="A131" s="6" t="s">
        <v>129</v>
      </c>
      <c r="B131" s="20" t="e">
        <f>+(final_results!B131-Raw_Financials!B131)/Raw_Financials!B131</f>
        <v>#DIV/0!</v>
      </c>
      <c r="C131" s="20" t="e">
        <f>+(final_results!C131-Raw_Financials!C131)/Raw_Financials!C131</f>
        <v>#DIV/0!</v>
      </c>
      <c r="D131" s="20" t="e">
        <f>+(final_results!D131-Raw_Financials!D131)/Raw_Financials!D131</f>
        <v>#DIV/0!</v>
      </c>
      <c r="E131" s="20" t="e">
        <f>+(final_results!E131-Raw_Financials!E131)/Raw_Financials!E131</f>
        <v>#DIV/0!</v>
      </c>
      <c r="F131" s="20" t="e">
        <f>+(final_results!F131-Raw_Financials!F131)/Raw_Financials!F131</f>
        <v>#DIV/0!</v>
      </c>
      <c r="G131" s="20" t="e">
        <f>+(final_results!G131-Raw_Financials!G131)/Raw_Financials!G131</f>
        <v>#DIV/0!</v>
      </c>
      <c r="H131" s="20" t="e">
        <f>+(final_results!H131-Raw_Financials!H131)/Raw_Financials!H131</f>
        <v>#DIV/0!</v>
      </c>
      <c r="I131" s="20" t="e">
        <f>+(final_results!I131-Raw_Financials!I131)/Raw_Financials!I131</f>
        <v>#DIV/0!</v>
      </c>
      <c r="J131" s="20" t="e">
        <f>+(final_results!J131-Raw_Financials!J131)/Raw_Financials!J131</f>
        <v>#DIV/0!</v>
      </c>
      <c r="K131" s="20" t="e">
        <f>+(final_results!K131-Raw_Financials!K131)/Raw_Financials!K131</f>
        <v>#DIV/0!</v>
      </c>
    </row>
    <row r="132" spans="1:11">
      <c r="A132" s="5" t="s">
        <v>130</v>
      </c>
      <c r="B132" s="20">
        <f>+(final_results!B132-Raw_Financials!B132)/Raw_Financials!B132</f>
        <v>-1</v>
      </c>
      <c r="C132" s="20">
        <f>+(final_results!C132-Raw_Financials!C132)/Raw_Financials!C132</f>
        <v>-1</v>
      </c>
      <c r="D132" s="20" t="e">
        <f>+(final_results!D132-Raw_Financials!D132)/Raw_Financials!D132</f>
        <v>#DIV/0!</v>
      </c>
      <c r="E132" s="20" t="e">
        <f>+(final_results!E132-Raw_Financials!E132)/Raw_Financials!E132</f>
        <v>#DIV/0!</v>
      </c>
      <c r="F132" s="20" t="e">
        <f>+(final_results!F132-Raw_Financials!F132)/Raw_Financials!F132</f>
        <v>#DIV/0!</v>
      </c>
      <c r="G132" s="20" t="e">
        <f>+(final_results!G132-Raw_Financials!G132)/Raw_Financials!G132</f>
        <v>#DIV/0!</v>
      </c>
      <c r="H132" s="20" t="e">
        <f>+(final_results!H132-Raw_Financials!H132)/Raw_Financials!H132</f>
        <v>#DIV/0!</v>
      </c>
      <c r="I132" s="20" t="e">
        <f>+(final_results!I132-Raw_Financials!I132)/Raw_Financials!I132</f>
        <v>#DIV/0!</v>
      </c>
      <c r="J132" s="20" t="e">
        <f>+(final_results!J132-Raw_Financials!J132)/Raw_Financials!J132</f>
        <v>#DIV/0!</v>
      </c>
      <c r="K132" s="20" t="e">
        <f>+(final_results!K132-Raw_Financials!K132)/Raw_Financials!K132</f>
        <v>#DIV/0!</v>
      </c>
    </row>
    <row r="133" spans="1:11">
      <c r="A133" s="6" t="s">
        <v>131</v>
      </c>
      <c r="B133" s="20" t="e">
        <f>+(final_results!B133-Raw_Financials!B133)/Raw_Financials!B133</f>
        <v>#DIV/0!</v>
      </c>
      <c r="C133" s="20" t="e">
        <f>+(final_results!C133-Raw_Financials!C133)/Raw_Financials!C133</f>
        <v>#DIV/0!</v>
      </c>
      <c r="D133" s="20" t="e">
        <f>+(final_results!D133-Raw_Financials!D133)/Raw_Financials!D133</f>
        <v>#DIV/0!</v>
      </c>
      <c r="E133" s="20" t="e">
        <f>+(final_results!E133-Raw_Financials!E133)/Raw_Financials!E133</f>
        <v>#DIV/0!</v>
      </c>
      <c r="F133" s="20" t="e">
        <f>+(final_results!F133-Raw_Financials!F133)/Raw_Financials!F133</f>
        <v>#DIV/0!</v>
      </c>
      <c r="G133" s="20" t="e">
        <f>+(final_results!G133-Raw_Financials!G133)/Raw_Financials!G133</f>
        <v>#DIV/0!</v>
      </c>
      <c r="H133" s="20" t="e">
        <f>+(final_results!H133-Raw_Financials!H133)/Raw_Financials!H133</f>
        <v>#DIV/0!</v>
      </c>
      <c r="I133" s="20" t="e">
        <f>+(final_results!I133-Raw_Financials!I133)/Raw_Financials!I133</f>
        <v>#DIV/0!</v>
      </c>
      <c r="J133" s="20" t="e">
        <f>+(final_results!J133-Raw_Financials!J133)/Raw_Financials!J133</f>
        <v>#DIV/0!</v>
      </c>
      <c r="K133" s="20" t="e">
        <f>+(final_results!K133-Raw_Financials!K133)/Raw_Financials!K133</f>
        <v>#DIV/0!</v>
      </c>
    </row>
    <row r="134" spans="1:11">
      <c r="A134" s="5" t="s">
        <v>132</v>
      </c>
      <c r="B134" s="20" t="e">
        <f>+(final_results!B134-Raw_Financials!B134)/Raw_Financials!B134</f>
        <v>#DIV/0!</v>
      </c>
      <c r="C134" s="20" t="e">
        <f>+(final_results!C134-Raw_Financials!C134)/Raw_Financials!C134</f>
        <v>#DIV/0!</v>
      </c>
      <c r="D134" s="20" t="e">
        <f>+(final_results!D134-Raw_Financials!D134)/Raw_Financials!D134</f>
        <v>#DIV/0!</v>
      </c>
      <c r="E134" s="20" t="e">
        <f>+(final_results!E134-Raw_Financials!E134)/Raw_Financials!E134</f>
        <v>#DIV/0!</v>
      </c>
      <c r="F134" s="20" t="e">
        <f>+(final_results!F134-Raw_Financials!F134)/Raw_Financials!F134</f>
        <v>#DIV/0!</v>
      </c>
      <c r="G134" s="20" t="e">
        <f>+(final_results!G134-Raw_Financials!G134)/Raw_Financials!G134</f>
        <v>#DIV/0!</v>
      </c>
      <c r="H134" s="20" t="e">
        <f>+(final_results!H134-Raw_Financials!H134)/Raw_Financials!H134</f>
        <v>#DIV/0!</v>
      </c>
      <c r="I134" s="20" t="e">
        <f>+(final_results!I134-Raw_Financials!I134)/Raw_Financials!I134</f>
        <v>#DIV/0!</v>
      </c>
      <c r="J134" s="20" t="e">
        <f>+(final_results!J134-Raw_Financials!J134)/Raw_Financials!J134</f>
        <v>#DIV/0!</v>
      </c>
      <c r="K134" s="20" t="e">
        <f>+(final_results!K134-Raw_Financials!K134)/Raw_Financials!K134</f>
        <v>#DIV/0!</v>
      </c>
    </row>
    <row r="135" spans="1:11">
      <c r="A135" s="7" t="s">
        <v>133</v>
      </c>
      <c r="B135" s="20">
        <f>+(final_results!B135-Raw_Financials!B135)/Raw_Financials!B135</f>
        <v>0</v>
      </c>
      <c r="C135" s="20">
        <f>+(final_results!C135-Raw_Financials!C135)/Raw_Financials!C135</f>
        <v>0</v>
      </c>
      <c r="D135" s="20">
        <f>+(final_results!D135-Raw_Financials!D135)/Raw_Financials!D135</f>
        <v>0</v>
      </c>
      <c r="E135" s="20">
        <f>+(final_results!E135-Raw_Financials!E135)/Raw_Financials!E135</f>
        <v>0</v>
      </c>
      <c r="F135" s="20">
        <f>+(final_results!F135-Raw_Financials!F135)/Raw_Financials!F135</f>
        <v>0</v>
      </c>
      <c r="G135" s="20">
        <f>+(final_results!G135-Raw_Financials!G135)/Raw_Financials!G135</f>
        <v>0</v>
      </c>
      <c r="H135" s="20">
        <f>+(final_results!H135-Raw_Financials!H135)/Raw_Financials!H135</f>
        <v>0</v>
      </c>
      <c r="I135" s="20">
        <f>+(final_results!I135-Raw_Financials!I135)/Raw_Financials!I135</f>
        <v>0</v>
      </c>
      <c r="J135" s="20">
        <f>+(final_results!J135-Raw_Financials!J135)/Raw_Financials!J135</f>
        <v>0</v>
      </c>
      <c r="K135" s="20">
        <f>+(final_results!K135-Raw_Financials!K135)/Raw_Financials!K135</f>
        <v>0</v>
      </c>
    </row>
    <row r="136" spans="1:11">
      <c r="A136" s="5" t="s">
        <v>134</v>
      </c>
      <c r="B136" s="20">
        <f>+(final_results!B136-Raw_Financials!B136)/Raw_Financials!B136</f>
        <v>-1</v>
      </c>
      <c r="C136" s="20" t="e">
        <f>+(final_results!C136-Raw_Financials!C136)/Raw_Financials!C136</f>
        <v>#DIV/0!</v>
      </c>
      <c r="D136" s="20" t="e">
        <f>+(final_results!D136-Raw_Financials!D136)/Raw_Financials!D136</f>
        <v>#DIV/0!</v>
      </c>
      <c r="E136" s="20" t="e">
        <f>+(final_results!E136-Raw_Financials!E136)/Raw_Financials!E136</f>
        <v>#DIV/0!</v>
      </c>
      <c r="F136" s="20" t="e">
        <f>+(final_results!F136-Raw_Financials!F136)/Raw_Financials!F136</f>
        <v>#DIV/0!</v>
      </c>
      <c r="G136" s="20" t="e">
        <f>+(final_results!G136-Raw_Financials!G136)/Raw_Financials!G136</f>
        <v>#DIV/0!</v>
      </c>
      <c r="H136" s="20" t="e">
        <f>+(final_results!H136-Raw_Financials!H136)/Raw_Financials!H136</f>
        <v>#DIV/0!</v>
      </c>
      <c r="I136" s="20" t="e">
        <f>+(final_results!I136-Raw_Financials!I136)/Raw_Financials!I136</f>
        <v>#DIV/0!</v>
      </c>
      <c r="J136" s="20" t="e">
        <f>+(final_results!J136-Raw_Financials!J136)/Raw_Financials!J136</f>
        <v>#DIV/0!</v>
      </c>
      <c r="K136" s="20" t="e">
        <f>+(final_results!K136-Raw_Financials!K136)/Raw_Financials!K136</f>
        <v>#DIV/0!</v>
      </c>
    </row>
    <row r="137" spans="1:11">
      <c r="A137" s="6" t="s">
        <v>135</v>
      </c>
      <c r="B137" s="20" t="e">
        <f>+(final_results!B137-Raw_Financials!B137)/Raw_Financials!B137</f>
        <v>#DIV/0!</v>
      </c>
      <c r="C137" s="20" t="e">
        <f>+(final_results!C137-Raw_Financials!C137)/Raw_Financials!C137</f>
        <v>#DIV/0!</v>
      </c>
      <c r="D137" s="20" t="e">
        <f>+(final_results!D137-Raw_Financials!D137)/Raw_Financials!D137</f>
        <v>#DIV/0!</v>
      </c>
      <c r="E137" s="20" t="e">
        <f>+(final_results!E137-Raw_Financials!E137)/Raw_Financials!E137</f>
        <v>#DIV/0!</v>
      </c>
      <c r="F137" s="20" t="e">
        <f>+(final_results!F137-Raw_Financials!F137)/Raw_Financials!F137</f>
        <v>#DIV/0!</v>
      </c>
      <c r="G137" s="20" t="e">
        <f>+(final_results!G137-Raw_Financials!G137)/Raw_Financials!G137</f>
        <v>#DIV/0!</v>
      </c>
      <c r="H137" s="20" t="e">
        <f>+(final_results!H137-Raw_Financials!H137)/Raw_Financials!H137</f>
        <v>#DIV/0!</v>
      </c>
      <c r="I137" s="20" t="e">
        <f>+(final_results!I137-Raw_Financials!I137)/Raw_Financials!I137</f>
        <v>#DIV/0!</v>
      </c>
      <c r="J137" s="20" t="e">
        <f>+(final_results!J137-Raw_Financials!J137)/Raw_Financials!J137</f>
        <v>#DIV/0!</v>
      </c>
      <c r="K137" s="20" t="e">
        <f>+(final_results!K137-Raw_Financials!K137)/Raw_Financials!K137</f>
        <v>#DIV/0!</v>
      </c>
    </row>
    <row r="138" spans="1:11">
      <c r="A138" s="7" t="s">
        <v>136</v>
      </c>
      <c r="B138" s="20">
        <f>+(final_results!B138-Raw_Financials!B138)/Raw_Financials!B138</f>
        <v>-1</v>
      </c>
      <c r="C138" s="20" t="e">
        <f>+(final_results!C138-Raw_Financials!C138)/Raw_Financials!C138</f>
        <v>#DIV/0!</v>
      </c>
      <c r="D138" s="20" t="e">
        <f>+(final_results!D138-Raw_Financials!D138)/Raw_Financials!D138</f>
        <v>#DIV/0!</v>
      </c>
      <c r="E138" s="20" t="e">
        <f>+(final_results!E138-Raw_Financials!E138)/Raw_Financials!E138</f>
        <v>#DIV/0!</v>
      </c>
      <c r="F138" s="20" t="e">
        <f>+(final_results!F138-Raw_Financials!F138)/Raw_Financials!F138</f>
        <v>#DIV/0!</v>
      </c>
      <c r="G138" s="20" t="e">
        <f>+(final_results!G138-Raw_Financials!G138)/Raw_Financials!G138</f>
        <v>#DIV/0!</v>
      </c>
      <c r="H138" s="20" t="e">
        <f>+(final_results!H138-Raw_Financials!H138)/Raw_Financials!H138</f>
        <v>#DIV/0!</v>
      </c>
      <c r="I138" s="20" t="e">
        <f>+(final_results!I138-Raw_Financials!I138)/Raw_Financials!I138</f>
        <v>#DIV/0!</v>
      </c>
      <c r="J138" s="20" t="e">
        <f>+(final_results!J138-Raw_Financials!J138)/Raw_Financials!J138</f>
        <v>#DIV/0!</v>
      </c>
      <c r="K138" s="20" t="e">
        <f>+(final_results!K138-Raw_Financials!K138)/Raw_Financials!K138</f>
        <v>#DIV/0!</v>
      </c>
    </row>
    <row r="139" spans="1:11">
      <c r="A139" s="6" t="s">
        <v>137</v>
      </c>
      <c r="B139" s="20">
        <f>+(final_results!B139-Raw_Financials!B139)/Raw_Financials!B139</f>
        <v>0</v>
      </c>
      <c r="C139" s="20">
        <f>+(final_results!C139-Raw_Financials!C139)/Raw_Financials!C139</f>
        <v>0</v>
      </c>
      <c r="D139" s="20">
        <f>+(final_results!D139-Raw_Financials!D139)/Raw_Financials!D139</f>
        <v>0</v>
      </c>
      <c r="E139" s="20">
        <f>+(final_results!E139-Raw_Financials!E139)/Raw_Financials!E139</f>
        <v>0</v>
      </c>
      <c r="F139" s="20">
        <f>+(final_results!F139-Raw_Financials!F139)/Raw_Financials!F139</f>
        <v>0</v>
      </c>
      <c r="G139" s="20">
        <f>+(final_results!G139-Raw_Financials!G139)/Raw_Financials!G139</f>
        <v>0</v>
      </c>
      <c r="H139" s="20">
        <f>+(final_results!H139-Raw_Financials!H139)/Raw_Financials!H139</f>
        <v>0</v>
      </c>
      <c r="I139" s="20">
        <f>+(final_results!I139-Raw_Financials!I139)/Raw_Financials!I139</f>
        <v>0</v>
      </c>
      <c r="J139" s="20">
        <f>+(final_results!J139-Raw_Financials!J139)/Raw_Financials!J139</f>
        <v>0</v>
      </c>
      <c r="K139" s="20">
        <f>+(final_results!K139-Raw_Financials!K139)/Raw_Financials!K139</f>
        <v>-0.29623038414282243</v>
      </c>
    </row>
    <row r="140" spans="1:11">
      <c r="A140" s="7" t="s">
        <v>138</v>
      </c>
      <c r="B140" s="20">
        <f>+(final_results!B140-Raw_Financials!B140)/Raw_Financials!B140</f>
        <v>0</v>
      </c>
      <c r="C140" s="20">
        <f>+(final_results!C140-Raw_Financials!C140)/Raw_Financials!C140</f>
        <v>0</v>
      </c>
      <c r="D140" s="20">
        <f>+(final_results!D140-Raw_Financials!D140)/Raw_Financials!D140</f>
        <v>0</v>
      </c>
      <c r="E140" s="20">
        <f>+(final_results!E140-Raw_Financials!E140)/Raw_Financials!E140</f>
        <v>0</v>
      </c>
      <c r="F140" s="20">
        <f>+(final_results!F140-Raw_Financials!F140)/Raw_Financials!F140</f>
        <v>0</v>
      </c>
      <c r="G140" s="20">
        <f>+(final_results!G140-Raw_Financials!G140)/Raw_Financials!G140</f>
        <v>0</v>
      </c>
      <c r="H140" s="20">
        <f>+(final_results!H140-Raw_Financials!H140)/Raw_Financials!H140</f>
        <v>0</v>
      </c>
      <c r="I140" s="20">
        <f>+(final_results!I140-Raw_Financials!I140)/Raw_Financials!I140</f>
        <v>0</v>
      </c>
      <c r="J140" s="20">
        <f>+(final_results!J140-Raw_Financials!J140)/Raw_Financials!J140</f>
        <v>0</v>
      </c>
      <c r="K140" s="20">
        <f>+(final_results!K140-Raw_Financials!K140)/Raw_Financials!K140</f>
        <v>-0.29623038414282243</v>
      </c>
    </row>
    <row r="141" spans="1:11">
      <c r="A141" s="6" t="s">
        <v>139</v>
      </c>
      <c r="B141" s="20" t="e">
        <f>+(final_results!B141-Raw_Financials!B141)/Raw_Financials!B141</f>
        <v>#DIV/0!</v>
      </c>
      <c r="C141" s="20" t="e">
        <f>+(final_results!C141-Raw_Financials!C141)/Raw_Financials!C141</f>
        <v>#DIV/0!</v>
      </c>
      <c r="D141" s="20" t="e">
        <f>+(final_results!D141-Raw_Financials!D141)/Raw_Financials!D141</f>
        <v>#DIV/0!</v>
      </c>
      <c r="E141" s="20" t="e">
        <f>+(final_results!E141-Raw_Financials!E141)/Raw_Financials!E141</f>
        <v>#DIV/0!</v>
      </c>
      <c r="F141" s="20" t="e">
        <f>+(final_results!F141-Raw_Financials!F141)/Raw_Financials!F141</f>
        <v>#DIV/0!</v>
      </c>
      <c r="G141" s="20" t="e">
        <f>+(final_results!G141-Raw_Financials!G141)/Raw_Financials!G141</f>
        <v>#DIV/0!</v>
      </c>
      <c r="H141" s="20" t="e">
        <f>+(final_results!H141-Raw_Financials!H141)/Raw_Financials!H141</f>
        <v>#DIV/0!</v>
      </c>
      <c r="I141" s="20" t="e">
        <f>+(final_results!I141-Raw_Financials!I141)/Raw_Financials!I141</f>
        <v>#DIV/0!</v>
      </c>
      <c r="J141" s="20" t="e">
        <f>+(final_results!J141-Raw_Financials!J141)/Raw_Financials!J141</f>
        <v>#DIV/0!</v>
      </c>
      <c r="K141" s="20" t="e">
        <f>+(final_results!K141-Raw_Financials!K141)/Raw_Financials!K141</f>
        <v>#DIV/0!</v>
      </c>
    </row>
    <row r="142" spans="1:11">
      <c r="A142" s="5" t="s">
        <v>140</v>
      </c>
      <c r="B142" s="20">
        <f>+(final_results!B142-Raw_Financials!B142)/Raw_Financials!B142</f>
        <v>0</v>
      </c>
      <c r="C142" s="20">
        <f>+(final_results!C142-Raw_Financials!C142)/Raw_Financials!C142</f>
        <v>0</v>
      </c>
      <c r="D142" s="20">
        <f>+(final_results!D142-Raw_Financials!D142)/Raw_Financials!D142</f>
        <v>0</v>
      </c>
      <c r="E142" s="20">
        <f>+(final_results!E142-Raw_Financials!E142)/Raw_Financials!E142</f>
        <v>0</v>
      </c>
      <c r="F142" s="20">
        <f>+(final_results!F142-Raw_Financials!F142)/Raw_Financials!F142</f>
        <v>1.4583611833670623E-16</v>
      </c>
      <c r="G142" s="20">
        <f>+(final_results!G142-Raw_Financials!G142)/Raw_Financials!G142</f>
        <v>0</v>
      </c>
      <c r="H142" s="20">
        <f>+(final_results!H142-Raw_Financials!H142)/Raw_Financials!H142</f>
        <v>0</v>
      </c>
      <c r="I142" s="20">
        <f>+(final_results!I142-Raw_Financials!I142)/Raw_Financials!I142</f>
        <v>0</v>
      </c>
      <c r="J142" s="20">
        <f>+(final_results!J142-Raw_Financials!J142)/Raw_Financials!J142</f>
        <v>0</v>
      </c>
      <c r="K142" s="20">
        <f>+(final_results!K142-Raw_Financials!K142)/Raw_Financials!K142</f>
        <v>-0.50968681416944617</v>
      </c>
    </row>
    <row r="143" spans="1:11">
      <c r="A143" s="6" t="s">
        <v>141</v>
      </c>
      <c r="B143" s="20">
        <f>+(final_results!B143-Raw_Financials!B143)/Raw_Financials!B143</f>
        <v>0</v>
      </c>
      <c r="C143" s="20">
        <f>+(final_results!C143-Raw_Financials!C143)/Raw_Financials!C143</f>
        <v>0</v>
      </c>
      <c r="D143" s="20">
        <f>+(final_results!D143-Raw_Financials!D143)/Raw_Financials!D143</f>
        <v>0</v>
      </c>
      <c r="E143" s="20">
        <f>+(final_results!E143-Raw_Financials!E143)/Raw_Financials!E143</f>
        <v>1.1345497121513081E-16</v>
      </c>
      <c r="F143" s="20">
        <f>+(final_results!F143-Raw_Financials!F143)/Raw_Financials!F143</f>
        <v>0</v>
      </c>
      <c r="G143" s="20">
        <f>+(final_results!G143-Raw_Financials!G143)/Raw_Financials!G143</f>
        <v>0</v>
      </c>
      <c r="H143" s="20">
        <f>+(final_results!H143-Raw_Financials!H143)/Raw_Financials!H143</f>
        <v>0</v>
      </c>
      <c r="I143" s="20">
        <f>+(final_results!I143-Raw_Financials!I143)/Raw_Financials!I143</f>
        <v>-0.38949330861419823</v>
      </c>
      <c r="J143" s="20">
        <f>+(final_results!J143-Raw_Financials!J143)/Raw_Financials!J143</f>
        <v>-0.13768212204895386</v>
      </c>
      <c r="K143" s="20">
        <f>+(final_results!K143-Raw_Financials!K143)/Raw_Financials!K143</f>
        <v>0</v>
      </c>
    </row>
    <row r="144" spans="1:11">
      <c r="A144" s="5" t="s">
        <v>142</v>
      </c>
      <c r="B144" s="20" t="e">
        <f>+(final_results!B144-Raw_Financials!B144)/Raw_Financials!B144</f>
        <v>#DIV/0!</v>
      </c>
      <c r="C144" s="20">
        <f>+(final_results!C144-Raw_Financials!C144)/Raw_Financials!C144</f>
        <v>0</v>
      </c>
      <c r="D144" s="20">
        <f>+(final_results!D144-Raw_Financials!D144)/Raw_Financials!D144</f>
        <v>0</v>
      </c>
      <c r="E144" s="20">
        <f>+(final_results!E144-Raw_Financials!E144)/Raw_Financials!E144</f>
        <v>1.3800306905332615E-16</v>
      </c>
      <c r="F144" s="20">
        <f>+(final_results!F144-Raw_Financials!F144)/Raw_Financials!F144</f>
        <v>0</v>
      </c>
      <c r="G144" s="20">
        <f>+(final_results!G144-Raw_Financials!G144)/Raw_Financials!G144</f>
        <v>0</v>
      </c>
      <c r="H144" s="20">
        <f>+(final_results!H144-Raw_Financials!H144)/Raw_Financials!H144</f>
        <v>0</v>
      </c>
      <c r="I144" s="20">
        <f>+(final_results!I144-Raw_Financials!I144)/Raw_Financials!I144</f>
        <v>0</v>
      </c>
      <c r="J144" s="20">
        <f>+(final_results!J144-Raw_Financials!J144)/Raw_Financials!J144</f>
        <v>-0.11930715169897456</v>
      </c>
      <c r="K144" s="20">
        <f>+(final_results!K144-Raw_Financials!K144)/Raw_Financials!K144</f>
        <v>0</v>
      </c>
    </row>
    <row r="145" spans="1:11">
      <c r="A145" s="6" t="s">
        <v>143</v>
      </c>
      <c r="B145" s="20" t="e">
        <f>+(final_results!B145-Raw_Financials!B145)/Raw_Financials!B145</f>
        <v>#DIV/0!</v>
      </c>
      <c r="C145" s="20" t="e">
        <f>+(final_results!C145-Raw_Financials!C145)/Raw_Financials!C145</f>
        <v>#DIV/0!</v>
      </c>
      <c r="D145" s="20" t="e">
        <f>+(final_results!D145-Raw_Financials!D145)/Raw_Financials!D145</f>
        <v>#DIV/0!</v>
      </c>
      <c r="E145" s="20" t="e">
        <f>+(final_results!E145-Raw_Financials!E145)/Raw_Financials!E145</f>
        <v>#DIV/0!</v>
      </c>
      <c r="F145" s="20" t="e">
        <f>+(final_results!F145-Raw_Financials!F145)/Raw_Financials!F145</f>
        <v>#DIV/0!</v>
      </c>
      <c r="G145" s="20" t="e">
        <f>+(final_results!G145-Raw_Financials!G145)/Raw_Financials!G145</f>
        <v>#DIV/0!</v>
      </c>
      <c r="H145" s="20" t="e">
        <f>+(final_results!H145-Raw_Financials!H145)/Raw_Financials!H145</f>
        <v>#DIV/0!</v>
      </c>
      <c r="I145" s="20" t="e">
        <f>+(final_results!I145-Raw_Financials!I145)/Raw_Financials!I145</f>
        <v>#DIV/0!</v>
      </c>
      <c r="J145" s="20" t="e">
        <f>+(final_results!J145-Raw_Financials!J145)/Raw_Financials!J145</f>
        <v>#DIV/0!</v>
      </c>
      <c r="K145" s="20" t="e">
        <f>+(final_results!K145-Raw_Financials!K145)/Raw_Financials!K145</f>
        <v>#DIV/0!</v>
      </c>
    </row>
    <row r="146" spans="1:11">
      <c r="A146" s="5" t="s">
        <v>144</v>
      </c>
      <c r="B146" s="20" t="e">
        <f>+(final_results!B146-Raw_Financials!B146)/Raw_Financials!B146</f>
        <v>#DIV/0!</v>
      </c>
      <c r="C146" s="20">
        <f>+(final_results!C146-Raw_Financials!C146)/Raw_Financials!C146</f>
        <v>0</v>
      </c>
      <c r="D146" s="20">
        <f>+(final_results!D146-Raw_Financials!D146)/Raw_Financials!D146</f>
        <v>0</v>
      </c>
      <c r="E146" s="20">
        <f>+(final_results!E146-Raw_Financials!E146)/Raw_Financials!E146</f>
        <v>0</v>
      </c>
      <c r="F146" s="20">
        <f>+(final_results!F146-Raw_Financials!F146)/Raw_Financials!F146</f>
        <v>-1.2073581731162956E-16</v>
      </c>
      <c r="G146" s="20">
        <f>+(final_results!G146-Raw_Financials!G146)/Raw_Financials!G146</f>
        <v>0</v>
      </c>
      <c r="H146" s="20">
        <f>+(final_results!H146-Raw_Financials!H146)/Raw_Financials!H146</f>
        <v>0</v>
      </c>
      <c r="I146" s="20">
        <f>+(final_results!I146-Raw_Financials!I146)/Raw_Financials!I146</f>
        <v>-1.6357906529076986E-2</v>
      </c>
      <c r="J146" s="20">
        <f>+(final_results!J146-Raw_Financials!J146)/Raw_Financials!J146</f>
        <v>0</v>
      </c>
      <c r="K146" s="20">
        <f>+(final_results!K146-Raw_Financials!K146)/Raw_Financials!K146</f>
        <v>0</v>
      </c>
    </row>
    <row r="147" spans="1:11">
      <c r="A147" s="6" t="s">
        <v>145</v>
      </c>
      <c r="B147" s="20" t="e">
        <f>+(final_results!B147-Raw_Financials!B147)/Raw_Financials!B147</f>
        <v>#DIV/0!</v>
      </c>
      <c r="C147" s="20" t="e">
        <f>+(final_results!C147-Raw_Financials!C147)/Raw_Financials!C147</f>
        <v>#DIV/0!</v>
      </c>
      <c r="D147" s="20" t="e">
        <f>+(final_results!D147-Raw_Financials!D147)/Raw_Financials!D147</f>
        <v>#DIV/0!</v>
      </c>
      <c r="E147" s="20" t="e">
        <f>+(final_results!E147-Raw_Financials!E147)/Raw_Financials!E147</f>
        <v>#DIV/0!</v>
      </c>
      <c r="F147" s="20" t="e">
        <f>+(final_results!F147-Raw_Financials!F147)/Raw_Financials!F147</f>
        <v>#DIV/0!</v>
      </c>
      <c r="G147" s="20" t="e">
        <f>+(final_results!G147-Raw_Financials!G147)/Raw_Financials!G147</f>
        <v>#DIV/0!</v>
      </c>
      <c r="H147" s="20" t="e">
        <f>+(final_results!H147-Raw_Financials!H147)/Raw_Financials!H147</f>
        <v>#DIV/0!</v>
      </c>
      <c r="I147" s="20" t="e">
        <f>+(final_results!I147-Raw_Financials!I147)/Raw_Financials!I147</f>
        <v>#DIV/0!</v>
      </c>
      <c r="J147" s="20" t="e">
        <f>+(final_results!J147-Raw_Financials!J147)/Raw_Financials!J147</f>
        <v>#DIV/0!</v>
      </c>
      <c r="K147" s="20" t="e">
        <f>+(final_results!K147-Raw_Financials!K147)/Raw_Financials!K147</f>
        <v>#DIV/0!</v>
      </c>
    </row>
    <row r="148" spans="1:11">
      <c r="A148" s="5" t="s">
        <v>146</v>
      </c>
      <c r="B148" s="20" t="e">
        <f>+(final_results!B148-Raw_Financials!B148)/Raw_Financials!B148</f>
        <v>#DIV/0!</v>
      </c>
      <c r="C148" s="20" t="e">
        <f>+(final_results!C148-Raw_Financials!C148)/Raw_Financials!C148</f>
        <v>#DIV/0!</v>
      </c>
      <c r="D148" s="20">
        <f>+(final_results!D148-Raw_Financials!D148)/Raw_Financials!D148</f>
        <v>0</v>
      </c>
      <c r="E148" s="20">
        <f>+(final_results!E148-Raw_Financials!E148)/Raw_Financials!E148</f>
        <v>-1.1331414749051972E-16</v>
      </c>
      <c r="F148" s="20">
        <f>+(final_results!F148-Raw_Financials!F148)/Raw_Financials!F148</f>
        <v>0</v>
      </c>
      <c r="G148" s="20">
        <f>+(final_results!G148-Raw_Financials!G148)/Raw_Financials!G148</f>
        <v>0</v>
      </c>
      <c r="H148" s="20">
        <f>+(final_results!H148-Raw_Financials!H148)/Raw_Financials!H148</f>
        <v>0</v>
      </c>
      <c r="I148" s="20">
        <f>+(final_results!I148-Raw_Financials!I148)/Raw_Financials!I148</f>
        <v>0</v>
      </c>
      <c r="J148" s="20">
        <f>+(final_results!J148-Raw_Financials!J148)/Raw_Financials!J148</f>
        <v>0</v>
      </c>
      <c r="K148" s="20">
        <f>+(final_results!K148-Raw_Financials!K148)/Raw_Financials!K148</f>
        <v>0</v>
      </c>
    </row>
    <row r="149" spans="1:11">
      <c r="A149" s="6" t="s">
        <v>147</v>
      </c>
      <c r="B149" s="20" t="e">
        <f>+(final_results!B149-Raw_Financials!B149)/Raw_Financials!B149</f>
        <v>#DIV/0!</v>
      </c>
      <c r="C149" s="20" t="e">
        <f>+(final_results!C149-Raw_Financials!C149)/Raw_Financials!C149</f>
        <v>#DIV/0!</v>
      </c>
      <c r="D149" s="20" t="e">
        <f>+(final_results!D149-Raw_Financials!D149)/Raw_Financials!D149</f>
        <v>#DIV/0!</v>
      </c>
      <c r="E149" s="20" t="e">
        <f>+(final_results!E149-Raw_Financials!E149)/Raw_Financials!E149</f>
        <v>#DIV/0!</v>
      </c>
      <c r="F149" s="20" t="e">
        <f>+(final_results!F149-Raw_Financials!F149)/Raw_Financials!F149</f>
        <v>#DIV/0!</v>
      </c>
      <c r="G149" s="20" t="e">
        <f>+(final_results!G149-Raw_Financials!G149)/Raw_Financials!G149</f>
        <v>#DIV/0!</v>
      </c>
      <c r="H149" s="20" t="e">
        <f>+(final_results!H149-Raw_Financials!H149)/Raw_Financials!H149</f>
        <v>#DIV/0!</v>
      </c>
      <c r="I149" s="20" t="e">
        <f>+(final_results!I149-Raw_Financials!I149)/Raw_Financials!I149</f>
        <v>#DIV/0!</v>
      </c>
      <c r="J149" s="20" t="e">
        <f>+(final_results!J149-Raw_Financials!J149)/Raw_Financials!J149</f>
        <v>#DIV/0!</v>
      </c>
      <c r="K149" s="20" t="e">
        <f>+(final_results!K149-Raw_Financials!K149)/Raw_Financials!K149</f>
        <v>#DIV/0!</v>
      </c>
    </row>
    <row r="150" spans="1:11">
      <c r="A150" s="5" t="s">
        <v>148</v>
      </c>
      <c r="B150" s="20">
        <f>+(final_results!B150-Raw_Financials!B150)/Raw_Financials!B150</f>
        <v>0</v>
      </c>
      <c r="C150" s="20">
        <f>+(final_results!C150-Raw_Financials!C150)/Raw_Financials!C150</f>
        <v>0</v>
      </c>
      <c r="D150" s="20">
        <f>+(final_results!D150-Raw_Financials!D150)/Raw_Financials!D150</f>
        <v>0</v>
      </c>
      <c r="E150" s="20">
        <f>+(final_results!E150-Raw_Financials!E150)/Raw_Financials!E150</f>
        <v>0</v>
      </c>
      <c r="F150" s="20">
        <f>+(final_results!F150-Raw_Financials!F150)/Raw_Financials!F150</f>
        <v>0</v>
      </c>
      <c r="G150" s="20" t="e">
        <f>+(final_results!G150-Raw_Financials!G150)/Raw_Financials!G150</f>
        <v>#DIV/0!</v>
      </c>
      <c r="H150" s="20">
        <f>+(final_results!H150-Raw_Financials!H150)/Raw_Financials!H150</f>
        <v>1.2733097212309472E-16</v>
      </c>
      <c r="I150" s="20" t="e">
        <f>+(final_results!I150-Raw_Financials!I150)/Raw_Financials!I150</f>
        <v>#DIV/0!</v>
      </c>
      <c r="J150" s="20" t="e">
        <f>+(final_results!J150-Raw_Financials!J150)/Raw_Financials!J150</f>
        <v>#DIV/0!</v>
      </c>
      <c r="K150" s="20">
        <f>+(final_results!K150-Raw_Financials!K150)/Raw_Financials!K150</f>
        <v>-1.2802564606846058E-16</v>
      </c>
    </row>
    <row r="151" spans="1:11">
      <c r="A151" s="6" t="s">
        <v>149</v>
      </c>
      <c r="B151" s="20" t="e">
        <f>+(final_results!B151-Raw_Financials!B151)/Raw_Financials!B151</f>
        <v>#DIV/0!</v>
      </c>
      <c r="C151" s="20" t="e">
        <f>+(final_results!C151-Raw_Financials!C151)/Raw_Financials!C151</f>
        <v>#DIV/0!</v>
      </c>
      <c r="D151" s="20" t="e">
        <f>+(final_results!D151-Raw_Financials!D151)/Raw_Financials!D151</f>
        <v>#DIV/0!</v>
      </c>
      <c r="E151" s="20" t="e">
        <f>+(final_results!E151-Raw_Financials!E151)/Raw_Financials!E151</f>
        <v>#DIV/0!</v>
      </c>
      <c r="F151" s="20" t="e">
        <f>+(final_results!F151-Raw_Financials!F151)/Raw_Financials!F151</f>
        <v>#DIV/0!</v>
      </c>
      <c r="G151" s="20" t="e">
        <f>+(final_results!G151-Raw_Financials!G151)/Raw_Financials!G151</f>
        <v>#DIV/0!</v>
      </c>
      <c r="H151" s="20" t="e">
        <f>+(final_results!H151-Raw_Financials!H151)/Raw_Financials!H151</f>
        <v>#DIV/0!</v>
      </c>
      <c r="I151" s="20" t="e">
        <f>+(final_results!I151-Raw_Financials!I151)/Raw_Financials!I151</f>
        <v>#DIV/0!</v>
      </c>
      <c r="J151" s="20" t="e">
        <f>+(final_results!J151-Raw_Financials!J151)/Raw_Financials!J151</f>
        <v>#DIV/0!</v>
      </c>
      <c r="K151" s="20" t="e">
        <f>+(final_results!K151-Raw_Financials!K151)/Raw_Financials!K151</f>
        <v>#DIV/0!</v>
      </c>
    </row>
    <row r="152" spans="1:11">
      <c r="A152" s="5" t="s">
        <v>150</v>
      </c>
      <c r="B152" s="20" t="e">
        <f>+(final_results!B152-Raw_Financials!B152)/Raw_Financials!B152</f>
        <v>#DIV/0!</v>
      </c>
      <c r="C152" s="20" t="e">
        <f>+(final_results!C152-Raw_Financials!C152)/Raw_Financials!C152</f>
        <v>#DIV/0!</v>
      </c>
      <c r="D152" s="20" t="e">
        <f>+(final_results!D152-Raw_Financials!D152)/Raw_Financials!D152</f>
        <v>#DIV/0!</v>
      </c>
      <c r="E152" s="20" t="e">
        <f>+(final_results!E152-Raw_Financials!E152)/Raw_Financials!E152</f>
        <v>#DIV/0!</v>
      </c>
      <c r="F152" s="20" t="e">
        <f>+(final_results!F152-Raw_Financials!F152)/Raw_Financials!F152</f>
        <v>#DIV/0!</v>
      </c>
      <c r="G152" s="20" t="e">
        <f>+(final_results!G152-Raw_Financials!G152)/Raw_Financials!G152</f>
        <v>#DIV/0!</v>
      </c>
      <c r="H152" s="20" t="e">
        <f>+(final_results!H152-Raw_Financials!H152)/Raw_Financials!H152</f>
        <v>#DIV/0!</v>
      </c>
      <c r="I152" s="20" t="e">
        <f>+(final_results!I152-Raw_Financials!I152)/Raw_Financials!I152</f>
        <v>#DIV/0!</v>
      </c>
      <c r="J152" s="20" t="e">
        <f>+(final_results!J152-Raw_Financials!J152)/Raw_Financials!J152</f>
        <v>#DIV/0!</v>
      </c>
      <c r="K152" s="20" t="e">
        <f>+(final_results!K152-Raw_Financials!K152)/Raw_Financials!K152</f>
        <v>#DIV/0!</v>
      </c>
    </row>
    <row r="153" spans="1:11">
      <c r="A153" s="6" t="s">
        <v>151</v>
      </c>
      <c r="B153" s="20" t="e">
        <f>+(final_results!B153-Raw_Financials!B153)/Raw_Financials!B153</f>
        <v>#DIV/0!</v>
      </c>
      <c r="C153" s="20" t="e">
        <f>+(final_results!C153-Raw_Financials!C153)/Raw_Financials!C153</f>
        <v>#DIV/0!</v>
      </c>
      <c r="D153" s="20" t="e">
        <f>+(final_results!D153-Raw_Financials!D153)/Raw_Financials!D153</f>
        <v>#DIV/0!</v>
      </c>
      <c r="E153" s="20" t="e">
        <f>+(final_results!E153-Raw_Financials!E153)/Raw_Financials!E153</f>
        <v>#DIV/0!</v>
      </c>
      <c r="F153" s="20" t="e">
        <f>+(final_results!F153-Raw_Financials!F153)/Raw_Financials!F153</f>
        <v>#DIV/0!</v>
      </c>
      <c r="G153" s="20" t="e">
        <f>+(final_results!G153-Raw_Financials!G153)/Raw_Financials!G153</f>
        <v>#DIV/0!</v>
      </c>
      <c r="H153" s="20" t="e">
        <f>+(final_results!H153-Raw_Financials!H153)/Raw_Financials!H153</f>
        <v>#DIV/0!</v>
      </c>
      <c r="I153" s="20" t="e">
        <f>+(final_results!I153-Raw_Financials!I153)/Raw_Financials!I153</f>
        <v>#DIV/0!</v>
      </c>
      <c r="J153" s="20" t="e">
        <f>+(final_results!J153-Raw_Financials!J153)/Raw_Financials!J153</f>
        <v>#DIV/0!</v>
      </c>
      <c r="K153" s="20" t="e">
        <f>+(final_results!K153-Raw_Financials!K153)/Raw_Financials!K153</f>
        <v>#DIV/0!</v>
      </c>
    </row>
    <row r="154" spans="1:11">
      <c r="A154" s="5" t="s">
        <v>152</v>
      </c>
      <c r="B154" s="20">
        <f>+(final_results!B154-Raw_Financials!B154)/Raw_Financials!B154</f>
        <v>0</v>
      </c>
      <c r="C154" s="20">
        <f>+(final_results!C154-Raw_Financials!C154)/Raw_Financials!C154</f>
        <v>0</v>
      </c>
      <c r="D154" s="20">
        <f>+(final_results!D154-Raw_Financials!D154)/Raw_Financials!D154</f>
        <v>0</v>
      </c>
      <c r="E154" s="20">
        <f>+(final_results!E154-Raw_Financials!E154)/Raw_Financials!E154</f>
        <v>0</v>
      </c>
      <c r="F154" s="20">
        <f>+(final_results!F154-Raw_Financials!F154)/Raw_Financials!F154</f>
        <v>0</v>
      </c>
      <c r="G154" s="20">
        <f>+(final_results!G154-Raw_Financials!G154)/Raw_Financials!G154</f>
        <v>0</v>
      </c>
      <c r="H154" s="20">
        <f>+(final_results!H154-Raw_Financials!H154)/Raw_Financials!H154</f>
        <v>0</v>
      </c>
      <c r="I154" s="20">
        <f>+(final_results!I154-Raw_Financials!I154)/Raw_Financials!I154</f>
        <v>1.7997304875980696E-16</v>
      </c>
      <c r="J154" s="20">
        <f>+(final_results!J154-Raw_Financials!J154)/Raw_Financials!J154</f>
        <v>0</v>
      </c>
      <c r="K154" s="20">
        <f>+(final_results!K154-Raw_Financials!K154)/Raw_Financials!K154</f>
        <v>0</v>
      </c>
    </row>
    <row r="155" spans="1:11">
      <c r="A155" s="6" t="s">
        <v>153</v>
      </c>
      <c r="B155" s="20" t="e">
        <f>+(final_results!B155-Raw_Financials!B155)/Raw_Financials!B155</f>
        <v>#DIV/0!</v>
      </c>
      <c r="C155" s="20" t="e">
        <f>+(final_results!C155-Raw_Financials!C155)/Raw_Financials!C155</f>
        <v>#DIV/0!</v>
      </c>
      <c r="D155" s="20" t="e">
        <f>+(final_results!D155-Raw_Financials!D155)/Raw_Financials!D155</f>
        <v>#DIV/0!</v>
      </c>
      <c r="E155" s="20" t="e">
        <f>+(final_results!E155-Raw_Financials!E155)/Raw_Financials!E155</f>
        <v>#DIV/0!</v>
      </c>
      <c r="F155" s="20" t="e">
        <f>+(final_results!F155-Raw_Financials!F155)/Raw_Financials!F155</f>
        <v>#DIV/0!</v>
      </c>
      <c r="G155" s="20" t="e">
        <f>+(final_results!G155-Raw_Financials!G155)/Raw_Financials!G155</f>
        <v>#DIV/0!</v>
      </c>
      <c r="H155" s="20" t="e">
        <f>+(final_results!H155-Raw_Financials!H155)/Raw_Financials!H155</f>
        <v>#DIV/0!</v>
      </c>
      <c r="I155" s="20" t="e">
        <f>+(final_results!I155-Raw_Financials!I155)/Raw_Financials!I155</f>
        <v>#DIV/0!</v>
      </c>
      <c r="J155" s="20" t="e">
        <f>+(final_results!J155-Raw_Financials!J155)/Raw_Financials!J155</f>
        <v>#DIV/0!</v>
      </c>
      <c r="K155" s="20" t="e">
        <f>+(final_results!K155-Raw_Financials!K155)/Raw_Financials!K155</f>
        <v>#DIV/0!</v>
      </c>
    </row>
    <row r="156" spans="1:11">
      <c r="A156" s="5" t="s">
        <v>154</v>
      </c>
      <c r="B156" s="20" t="e">
        <f>+(final_results!B156-Raw_Financials!B156)/Raw_Financials!B156</f>
        <v>#DIV/0!</v>
      </c>
      <c r="C156" s="20" t="e">
        <f>+(final_results!C156-Raw_Financials!C156)/Raw_Financials!C156</f>
        <v>#DIV/0!</v>
      </c>
      <c r="D156" s="20" t="e">
        <f>+(final_results!D156-Raw_Financials!D156)/Raw_Financials!D156</f>
        <v>#DIV/0!</v>
      </c>
      <c r="E156" s="20" t="e">
        <f>+(final_results!E156-Raw_Financials!E156)/Raw_Financials!E156</f>
        <v>#DIV/0!</v>
      </c>
      <c r="F156" s="20" t="e">
        <f>+(final_results!F156-Raw_Financials!F156)/Raw_Financials!F156</f>
        <v>#DIV/0!</v>
      </c>
      <c r="G156" s="20" t="e">
        <f>+(final_results!G156-Raw_Financials!G156)/Raw_Financials!G156</f>
        <v>#DIV/0!</v>
      </c>
      <c r="H156" s="20" t="e">
        <f>+(final_results!H156-Raw_Financials!H156)/Raw_Financials!H156</f>
        <v>#DIV/0!</v>
      </c>
      <c r="I156" s="20" t="e">
        <f>+(final_results!I156-Raw_Financials!I156)/Raw_Financials!I156</f>
        <v>#DIV/0!</v>
      </c>
      <c r="J156" s="20" t="e">
        <f>+(final_results!J156-Raw_Financials!J156)/Raw_Financials!J156</f>
        <v>#DIV/0!</v>
      </c>
      <c r="K156" s="20">
        <f>+(final_results!K156-Raw_Financials!K156)/Raw_Financials!K156</f>
        <v>-1</v>
      </c>
    </row>
    <row r="157" spans="1:11">
      <c r="A157" s="6" t="s">
        <v>155</v>
      </c>
      <c r="B157" s="20" t="e">
        <f>+(final_results!B157-Raw_Financials!B157)/Raw_Financials!B157</f>
        <v>#DIV/0!</v>
      </c>
      <c r="C157" s="20" t="e">
        <f>+(final_results!C157-Raw_Financials!C157)/Raw_Financials!C157</f>
        <v>#DIV/0!</v>
      </c>
      <c r="D157" s="20" t="e">
        <f>+(final_results!D157-Raw_Financials!D157)/Raw_Financials!D157</f>
        <v>#DIV/0!</v>
      </c>
      <c r="E157" s="20" t="e">
        <f>+(final_results!E157-Raw_Financials!E157)/Raw_Financials!E157</f>
        <v>#DIV/0!</v>
      </c>
      <c r="F157" s="20" t="e">
        <f>+(final_results!F157-Raw_Financials!F157)/Raw_Financials!F157</f>
        <v>#DIV/0!</v>
      </c>
      <c r="G157" s="20" t="e">
        <f>+(final_results!G157-Raw_Financials!G157)/Raw_Financials!G157</f>
        <v>#DIV/0!</v>
      </c>
      <c r="H157" s="20" t="e">
        <f>+(final_results!H157-Raw_Financials!H157)/Raw_Financials!H157</f>
        <v>#DIV/0!</v>
      </c>
      <c r="I157" s="20" t="e">
        <f>+(final_results!I157-Raw_Financials!I157)/Raw_Financials!I157</f>
        <v>#DIV/0!</v>
      </c>
      <c r="J157" s="20" t="e">
        <f>+(final_results!J157-Raw_Financials!J157)/Raw_Financials!J157</f>
        <v>#DIV/0!</v>
      </c>
      <c r="K157" s="20" t="e">
        <f>+(final_results!K157-Raw_Financials!K157)/Raw_Financials!K157</f>
        <v>#DIV/0!</v>
      </c>
    </row>
    <row r="158" spans="1:11">
      <c r="A158" s="7" t="s">
        <v>140</v>
      </c>
      <c r="B158" s="20">
        <f>+(final_results!B158-Raw_Financials!B158)/Raw_Financials!B158</f>
        <v>0</v>
      </c>
      <c r="C158" s="20">
        <f>+(final_results!C158-Raw_Financials!C158)/Raw_Financials!C158</f>
        <v>0</v>
      </c>
      <c r="D158" s="20">
        <f>+(final_results!D158-Raw_Financials!D158)/Raw_Financials!D158</f>
        <v>0</v>
      </c>
      <c r="E158" s="20">
        <f>+(final_results!E158-Raw_Financials!E158)/Raw_Financials!E158</f>
        <v>0</v>
      </c>
      <c r="F158" s="20">
        <f>+(final_results!F158-Raw_Financials!F158)/Raw_Financials!F158</f>
        <v>0</v>
      </c>
      <c r="G158" s="20">
        <f>+(final_results!G158-Raw_Financials!G158)/Raw_Financials!G158</f>
        <v>0</v>
      </c>
      <c r="H158" s="20">
        <f>+(final_results!H158-Raw_Financials!H158)/Raw_Financials!H158</f>
        <v>0</v>
      </c>
      <c r="I158" s="20">
        <f>+(final_results!I158-Raw_Financials!I158)/Raw_Financials!I158</f>
        <v>0</v>
      </c>
      <c r="J158" s="20">
        <f>+(final_results!J158-Raw_Financials!J158)/Raw_Financials!J158</f>
        <v>0</v>
      </c>
      <c r="K158" s="20">
        <f>+(final_results!K158-Raw_Financials!K158)/Raw_Financials!K158</f>
        <v>1.1999615541991313E-16</v>
      </c>
    </row>
    <row r="159" spans="1:11">
      <c r="A159" s="6" t="s">
        <v>156</v>
      </c>
      <c r="B159" s="20">
        <f>+(final_results!B159-Raw_Financials!B159)/Raw_Financials!B159</f>
        <v>0</v>
      </c>
      <c r="C159" s="20">
        <f>+(final_results!C159-Raw_Financials!C159)/Raw_Financials!C159</f>
        <v>0</v>
      </c>
      <c r="D159" s="20">
        <f>+(final_results!D159-Raw_Financials!D159)/Raw_Financials!D159</f>
        <v>0</v>
      </c>
      <c r="E159" s="20">
        <f>+(final_results!E159-Raw_Financials!E159)/Raw_Financials!E159</f>
        <v>0</v>
      </c>
      <c r="F159" s="20">
        <f>+(final_results!F159-Raw_Financials!F159)/Raw_Financials!F159</f>
        <v>0</v>
      </c>
      <c r="G159" s="20">
        <f>+(final_results!G159-Raw_Financials!G159)/Raw_Financials!G159</f>
        <v>0</v>
      </c>
      <c r="H159" s="20">
        <f>+(final_results!H159-Raw_Financials!H159)/Raw_Financials!H159</f>
        <v>-1.1598699357435108E-16</v>
      </c>
      <c r="I159" s="20">
        <f>+(final_results!I159-Raw_Financials!I159)/Raw_Financials!I159</f>
        <v>0</v>
      </c>
      <c r="J159" s="20">
        <f>+(final_results!J159-Raw_Financials!J159)/Raw_Financials!J159</f>
        <v>0</v>
      </c>
      <c r="K159" s="20">
        <f>+(final_results!K159-Raw_Financials!K159)/Raw_Financials!K159</f>
        <v>0</v>
      </c>
    </row>
    <row r="160" spans="1:11">
      <c r="A160" s="5" t="s">
        <v>157</v>
      </c>
      <c r="B160" s="20">
        <f>+(final_results!B160-Raw_Financials!B160)/Raw_Financials!B160</f>
        <v>-0.95901605539846579</v>
      </c>
      <c r="C160" s="20">
        <f>+(final_results!C160-Raw_Financials!C160)/Raw_Financials!C160</f>
        <v>-0.69801478863867772</v>
      </c>
      <c r="D160" s="20" t="e">
        <f>+(final_results!D160-Raw_Financials!D160)/Raw_Financials!D160</f>
        <v>#DIV/0!</v>
      </c>
      <c r="E160" s="20" t="e">
        <f>+(final_results!E160-Raw_Financials!E160)/Raw_Financials!E160</f>
        <v>#DIV/0!</v>
      </c>
      <c r="F160" s="20" t="e">
        <f>+(final_results!F160-Raw_Financials!F160)/Raw_Financials!F160</f>
        <v>#DIV/0!</v>
      </c>
      <c r="G160" s="20">
        <f>+(final_results!G160-Raw_Financials!G160)/Raw_Financials!G160</f>
        <v>0</v>
      </c>
      <c r="H160" s="20">
        <f>+(final_results!H160-Raw_Financials!H160)/Raw_Financials!H160</f>
        <v>0</v>
      </c>
      <c r="I160" s="20" t="e">
        <f>+(final_results!I160-Raw_Financials!I160)/Raw_Financials!I160</f>
        <v>#DIV/0!</v>
      </c>
      <c r="J160" s="20" t="e">
        <f>+(final_results!J160-Raw_Financials!J160)/Raw_Financials!J160</f>
        <v>#DIV/0!</v>
      </c>
      <c r="K160" s="20" t="e">
        <f>+(final_results!K160-Raw_Financials!K160)/Raw_Financials!K160</f>
        <v>#DIV/0!</v>
      </c>
    </row>
    <row r="161" spans="1:11">
      <c r="A161" s="6" t="s">
        <v>158</v>
      </c>
      <c r="B161" s="20" t="e">
        <f>+(final_results!B161-Raw_Financials!B161)/Raw_Financials!B161</f>
        <v>#DIV/0!</v>
      </c>
      <c r="C161" s="20" t="e">
        <f>+(final_results!C161-Raw_Financials!C161)/Raw_Financials!C161</f>
        <v>#DIV/0!</v>
      </c>
      <c r="D161" s="20" t="e">
        <f>+(final_results!D161-Raw_Financials!D161)/Raw_Financials!D161</f>
        <v>#DIV/0!</v>
      </c>
      <c r="E161" s="20" t="e">
        <f>+(final_results!E161-Raw_Financials!E161)/Raw_Financials!E161</f>
        <v>#DIV/0!</v>
      </c>
      <c r="F161" s="20" t="e">
        <f>+(final_results!F161-Raw_Financials!F161)/Raw_Financials!F161</f>
        <v>#DIV/0!</v>
      </c>
      <c r="G161" s="20" t="e">
        <f>+(final_results!G161-Raw_Financials!G161)/Raw_Financials!G161</f>
        <v>#DIV/0!</v>
      </c>
      <c r="H161" s="20" t="e">
        <f>+(final_results!H161-Raw_Financials!H161)/Raw_Financials!H161</f>
        <v>#DIV/0!</v>
      </c>
      <c r="I161" s="20" t="e">
        <f>+(final_results!I161-Raw_Financials!I161)/Raw_Financials!I161</f>
        <v>#DIV/0!</v>
      </c>
      <c r="J161" s="20" t="e">
        <f>+(final_results!J161-Raw_Financials!J161)/Raw_Financials!J161</f>
        <v>#DIV/0!</v>
      </c>
      <c r="K161" s="20" t="e">
        <f>+(final_results!K161-Raw_Financials!K161)/Raw_Financials!K161</f>
        <v>#DIV/0!</v>
      </c>
    </row>
    <row r="162" spans="1:11">
      <c r="A162" s="5" t="s">
        <v>159</v>
      </c>
      <c r="B162" s="20">
        <f>+(final_results!B162-Raw_Financials!B162)/Raw_Financials!B162</f>
        <v>-1.2380638471311372E-16</v>
      </c>
      <c r="C162" s="20">
        <f>+(final_results!C162-Raw_Financials!C162)/Raw_Financials!C162</f>
        <v>0</v>
      </c>
      <c r="D162" s="20">
        <f>+(final_results!D162-Raw_Financials!D162)/Raw_Financials!D162</f>
        <v>0</v>
      </c>
      <c r="E162" s="20">
        <f>+(final_results!E162-Raw_Financials!E162)/Raw_Financials!E162</f>
        <v>0</v>
      </c>
      <c r="F162" s="20">
        <f>+(final_results!F162-Raw_Financials!F162)/Raw_Financials!F162</f>
        <v>0</v>
      </c>
      <c r="G162" s="20">
        <f>+(final_results!G162-Raw_Financials!G162)/Raw_Financials!G162</f>
        <v>0</v>
      </c>
      <c r="H162" s="20">
        <f>+(final_results!H162-Raw_Financials!H162)/Raw_Financials!H162</f>
        <v>1.2544290152196307E-16</v>
      </c>
      <c r="I162" s="20">
        <f>+(final_results!I162-Raw_Financials!I162)/Raw_Financials!I162</f>
        <v>1.2171172944548452E-16</v>
      </c>
      <c r="J162" s="20">
        <f>+(final_results!J162-Raw_Financials!J162)/Raw_Financials!J162</f>
        <v>0</v>
      </c>
      <c r="K162" s="20">
        <f>+(final_results!K162-Raw_Financials!K162)/Raw_Financials!K162</f>
        <v>0</v>
      </c>
    </row>
    <row r="163" spans="1:11">
      <c r="A163" s="7" t="s">
        <v>160</v>
      </c>
      <c r="B163" s="20">
        <f>+(final_results!B163-Raw_Financials!B163)/Raw_Financials!B163</f>
        <v>0</v>
      </c>
      <c r="C163" s="20">
        <f>+(final_results!C163-Raw_Financials!C163)/Raw_Financials!C163</f>
        <v>0</v>
      </c>
      <c r="D163" s="20">
        <f>+(final_results!D163-Raw_Financials!D163)/Raw_Financials!D163</f>
        <v>0</v>
      </c>
      <c r="E163" s="20">
        <f>+(final_results!E163-Raw_Financials!E163)/Raw_Financials!E163</f>
        <v>0</v>
      </c>
      <c r="F163" s="20">
        <f>+(final_results!F163-Raw_Financials!F163)/Raw_Financials!F163</f>
        <v>0</v>
      </c>
      <c r="G163" s="20">
        <f>+(final_results!G163-Raw_Financials!G163)/Raw_Financials!G163</f>
        <v>1.1267066430118204E-16</v>
      </c>
      <c r="H163" s="20">
        <f>+(final_results!H163-Raw_Financials!H163)/Raw_Financials!H163</f>
        <v>0</v>
      </c>
      <c r="I163" s="20">
        <f>+(final_results!I163-Raw_Financials!I163)/Raw_Financials!I163</f>
        <v>0</v>
      </c>
      <c r="J163" s="20">
        <f>+(final_results!J163-Raw_Financials!J163)/Raw_Financials!J163</f>
        <v>-1.2065933968736226E-16</v>
      </c>
      <c r="K163" s="20">
        <f>+(final_results!K163-Raw_Financials!K163)/Raw_Financials!K163</f>
        <v>0</v>
      </c>
    </row>
    <row r="164" spans="1:11">
      <c r="A164" s="5" t="s">
        <v>161</v>
      </c>
      <c r="B164" s="20" t="e">
        <f>+(final_results!B164-Raw_Financials!B164)/Raw_Financials!B164</f>
        <v>#DIV/0!</v>
      </c>
      <c r="C164" s="20" t="e">
        <f>+(final_results!C164-Raw_Financials!C164)/Raw_Financials!C164</f>
        <v>#DIV/0!</v>
      </c>
      <c r="D164" s="20" t="e">
        <f>+(final_results!D164-Raw_Financials!D164)/Raw_Financials!D164</f>
        <v>#DIV/0!</v>
      </c>
      <c r="E164" s="20" t="e">
        <f>+(final_results!E164-Raw_Financials!E164)/Raw_Financials!E164</f>
        <v>#DIV/0!</v>
      </c>
      <c r="F164" s="20" t="e">
        <f>+(final_results!F164-Raw_Financials!F164)/Raw_Financials!F164</f>
        <v>#DIV/0!</v>
      </c>
      <c r="G164" s="20" t="e">
        <f>+(final_results!G164-Raw_Financials!G164)/Raw_Financials!G164</f>
        <v>#DIV/0!</v>
      </c>
      <c r="H164" s="20" t="e">
        <f>+(final_results!H164-Raw_Financials!H164)/Raw_Financials!H164</f>
        <v>#DIV/0!</v>
      </c>
      <c r="I164" s="20" t="e">
        <f>+(final_results!I164-Raw_Financials!I164)/Raw_Financials!I164</f>
        <v>#DIV/0!</v>
      </c>
      <c r="J164" s="20" t="e">
        <f>+(final_results!J164-Raw_Financials!J164)/Raw_Financials!J164</f>
        <v>#DIV/0!</v>
      </c>
      <c r="K164" s="20" t="e">
        <f>+(final_results!K164-Raw_Financials!K164)/Raw_Financials!K164</f>
        <v>#DIV/0!</v>
      </c>
    </row>
    <row r="165" spans="1:11">
      <c r="A165" s="6" t="s">
        <v>162</v>
      </c>
      <c r="B165" s="20" t="e">
        <f>+(final_results!B165-Raw_Financials!B165)/Raw_Financials!B165</f>
        <v>#DIV/0!</v>
      </c>
      <c r="C165" s="20" t="e">
        <f>+(final_results!C165-Raw_Financials!C165)/Raw_Financials!C165</f>
        <v>#DIV/0!</v>
      </c>
      <c r="D165" s="20" t="e">
        <f>+(final_results!D165-Raw_Financials!D165)/Raw_Financials!D165</f>
        <v>#DIV/0!</v>
      </c>
      <c r="E165" s="20" t="e">
        <f>+(final_results!E165-Raw_Financials!E165)/Raw_Financials!E165</f>
        <v>#DIV/0!</v>
      </c>
      <c r="F165" s="20" t="e">
        <f>+(final_results!F165-Raw_Financials!F165)/Raw_Financials!F165</f>
        <v>#DIV/0!</v>
      </c>
      <c r="G165" s="20" t="e">
        <f>+(final_results!G165-Raw_Financials!G165)/Raw_Financials!G165</f>
        <v>#DIV/0!</v>
      </c>
      <c r="H165" s="20" t="e">
        <f>+(final_results!H165-Raw_Financials!H165)/Raw_Financials!H165</f>
        <v>#DIV/0!</v>
      </c>
      <c r="I165" s="20" t="e">
        <f>+(final_results!I165-Raw_Financials!I165)/Raw_Financials!I165</f>
        <v>#DIV/0!</v>
      </c>
      <c r="J165" s="20" t="e">
        <f>+(final_results!J165-Raw_Financials!J165)/Raw_Financials!J165</f>
        <v>#DIV/0!</v>
      </c>
      <c r="K165" s="20" t="e">
        <f>+(final_results!K165-Raw_Financials!K165)/Raw_Financials!K165</f>
        <v>#DIV/0!</v>
      </c>
    </row>
    <row r="166" spans="1:11">
      <c r="A166" s="5" t="s">
        <v>163</v>
      </c>
      <c r="B166" s="20">
        <f>+(final_results!B166-Raw_Financials!B166)/Raw_Financials!B166</f>
        <v>0</v>
      </c>
      <c r="C166" s="20">
        <f>+(final_results!C166-Raw_Financials!C166)/Raw_Financials!C166</f>
        <v>0</v>
      </c>
      <c r="D166" s="20">
        <f>+(final_results!D166-Raw_Financials!D166)/Raw_Financials!D166</f>
        <v>0</v>
      </c>
      <c r="E166" s="20">
        <f>+(final_results!E166-Raw_Financials!E166)/Raw_Financials!E166</f>
        <v>0</v>
      </c>
      <c r="F166" s="20">
        <f>+(final_results!F166-Raw_Financials!F166)/Raw_Financials!F166</f>
        <v>1.3421699018999795E-16</v>
      </c>
      <c r="G166" s="20">
        <f>+(final_results!G166-Raw_Financials!G166)/Raw_Financials!G166</f>
        <v>0</v>
      </c>
      <c r="H166" s="20">
        <f>+(final_results!H166-Raw_Financials!H166)/Raw_Financials!H166</f>
        <v>0</v>
      </c>
      <c r="I166" s="20">
        <f>+(final_results!I166-Raw_Financials!I166)/Raw_Financials!I166</f>
        <v>0</v>
      </c>
      <c r="J166" s="20">
        <f>+(final_results!J166-Raw_Financials!J166)/Raw_Financials!J166</f>
        <v>0</v>
      </c>
      <c r="K166" s="20">
        <f>+(final_results!K166-Raw_Financials!K166)/Raw_Financials!K166</f>
        <v>0</v>
      </c>
    </row>
    <row r="167" spans="1:11">
      <c r="A167" s="6" t="s">
        <v>164</v>
      </c>
      <c r="B167" s="20" t="e">
        <f>+(final_results!B167-Raw_Financials!B167)/Raw_Financials!B167</f>
        <v>#DIV/0!</v>
      </c>
      <c r="C167" s="20" t="e">
        <f>+(final_results!C167-Raw_Financials!C167)/Raw_Financials!C167</f>
        <v>#DIV/0!</v>
      </c>
      <c r="D167" s="20" t="e">
        <f>+(final_results!D167-Raw_Financials!D167)/Raw_Financials!D167</f>
        <v>#DIV/0!</v>
      </c>
      <c r="E167" s="20" t="e">
        <f>+(final_results!E167-Raw_Financials!E167)/Raw_Financials!E167</f>
        <v>#DIV/0!</v>
      </c>
      <c r="F167" s="20" t="e">
        <f>+(final_results!F167-Raw_Financials!F167)/Raw_Financials!F167</f>
        <v>#DIV/0!</v>
      </c>
      <c r="G167" s="20" t="e">
        <f>+(final_results!G167-Raw_Financials!G167)/Raw_Financials!G167</f>
        <v>#DIV/0!</v>
      </c>
      <c r="H167" s="20" t="e">
        <f>+(final_results!H167-Raw_Financials!H167)/Raw_Financials!H167</f>
        <v>#DIV/0!</v>
      </c>
      <c r="I167" s="20" t="e">
        <f>+(final_results!I167-Raw_Financials!I167)/Raw_Financials!I167</f>
        <v>#DIV/0!</v>
      </c>
      <c r="J167" s="20" t="e">
        <f>+(final_results!J167-Raw_Financials!J167)/Raw_Financials!J167</f>
        <v>#DIV/0!</v>
      </c>
      <c r="K167" s="20" t="e">
        <f>+(final_results!K167-Raw_Financials!K167)/Raw_Financials!K167</f>
        <v>#DIV/0!</v>
      </c>
    </row>
    <row r="168" spans="1:11">
      <c r="A168" s="5" t="s">
        <v>165</v>
      </c>
      <c r="B168" s="20" t="e">
        <f>+(final_results!B168-Raw_Financials!B168)/Raw_Financials!B168</f>
        <v>#DIV/0!</v>
      </c>
      <c r="C168" s="20" t="e">
        <f>+(final_results!C168-Raw_Financials!C168)/Raw_Financials!C168</f>
        <v>#DIV/0!</v>
      </c>
      <c r="D168" s="20" t="e">
        <f>+(final_results!D168-Raw_Financials!D168)/Raw_Financials!D168</f>
        <v>#DIV/0!</v>
      </c>
      <c r="E168" s="20" t="e">
        <f>+(final_results!E168-Raw_Financials!E168)/Raw_Financials!E168</f>
        <v>#DIV/0!</v>
      </c>
      <c r="F168" s="20" t="e">
        <f>+(final_results!F168-Raw_Financials!F168)/Raw_Financials!F168</f>
        <v>#DIV/0!</v>
      </c>
      <c r="G168" s="20" t="e">
        <f>+(final_results!G168-Raw_Financials!G168)/Raw_Financials!G168</f>
        <v>#DIV/0!</v>
      </c>
      <c r="H168" s="20" t="e">
        <f>+(final_results!H168-Raw_Financials!H168)/Raw_Financials!H168</f>
        <v>#DIV/0!</v>
      </c>
      <c r="I168" s="20" t="e">
        <f>+(final_results!I168-Raw_Financials!I168)/Raw_Financials!I168</f>
        <v>#DIV/0!</v>
      </c>
      <c r="J168" s="20" t="e">
        <f>+(final_results!J168-Raw_Financials!J168)/Raw_Financials!J168</f>
        <v>#DIV/0!</v>
      </c>
      <c r="K168" s="20" t="e">
        <f>+(final_results!K168-Raw_Financials!K168)/Raw_Financials!K168</f>
        <v>#DIV/0!</v>
      </c>
    </row>
    <row r="169" spans="1:11">
      <c r="A169" s="7" t="s">
        <v>166</v>
      </c>
      <c r="B169" s="20">
        <f>+(final_results!B169-Raw_Financials!B169)/Raw_Financials!B169</f>
        <v>0</v>
      </c>
      <c r="C169" s="20">
        <f>+(final_results!C169-Raw_Financials!C169)/Raw_Financials!C169</f>
        <v>0</v>
      </c>
      <c r="D169" s="20">
        <f>+(final_results!D169-Raw_Financials!D169)/Raw_Financials!D169</f>
        <v>0</v>
      </c>
      <c r="E169" s="20">
        <f>+(final_results!E169-Raw_Financials!E169)/Raw_Financials!E169</f>
        <v>0</v>
      </c>
      <c r="F169" s="20">
        <f>+(final_results!F169-Raw_Financials!F169)/Raw_Financials!F169</f>
        <v>1.3421699018999795E-16</v>
      </c>
      <c r="G169" s="20">
        <f>+(final_results!G169-Raw_Financials!G169)/Raw_Financials!G169</f>
        <v>0</v>
      </c>
      <c r="H169" s="20">
        <f>+(final_results!H169-Raw_Financials!H169)/Raw_Financials!H169</f>
        <v>0</v>
      </c>
      <c r="I169" s="20">
        <f>+(final_results!I169-Raw_Financials!I169)/Raw_Financials!I169</f>
        <v>0</v>
      </c>
      <c r="J169" s="20">
        <f>+(final_results!J169-Raw_Financials!J169)/Raw_Financials!J169</f>
        <v>0</v>
      </c>
      <c r="K169" s="20">
        <f>+(final_results!K169-Raw_Financials!K169)/Raw_Financials!K169</f>
        <v>0</v>
      </c>
    </row>
    <row r="170" spans="1:11">
      <c r="A170" s="7" t="s">
        <v>167</v>
      </c>
      <c r="B170" s="20">
        <f>+(final_results!B170-Raw_Financials!B170)/Raw_Financials!B170</f>
        <v>0</v>
      </c>
      <c r="C170" s="20">
        <f>+(final_results!C170-Raw_Financials!C170)/Raw_Financials!C170</f>
        <v>0</v>
      </c>
      <c r="D170" s="20">
        <f>+(final_results!D170-Raw_Financials!D170)/Raw_Financials!D170</f>
        <v>0</v>
      </c>
      <c r="E170" s="20">
        <f>+(final_results!E170-Raw_Financials!E170)/Raw_Financials!E170</f>
        <v>0</v>
      </c>
      <c r="F170" s="20">
        <f>+(final_results!F170-Raw_Financials!F170)/Raw_Financials!F170</f>
        <v>-1.1866597972076012E-16</v>
      </c>
      <c r="G170" s="20">
        <f>+(final_results!G170-Raw_Financials!G170)/Raw_Financials!G170</f>
        <v>0</v>
      </c>
      <c r="H170" s="20">
        <f>+(final_results!H170-Raw_Financials!H170)/Raw_Financials!H170</f>
        <v>0</v>
      </c>
      <c r="I170" s="20">
        <f>+(final_results!I170-Raw_Financials!I170)/Raw_Financials!I170</f>
        <v>0</v>
      </c>
      <c r="J170" s="20">
        <f>+(final_results!J170-Raw_Financials!J170)/Raw_Financials!J170</f>
        <v>0</v>
      </c>
      <c r="K170" s="20">
        <f>+(final_results!K170-Raw_Financials!K170)/Raw_Financials!K170</f>
        <v>0</v>
      </c>
    </row>
    <row r="171" spans="1:11">
      <c r="A171" s="6" t="s">
        <v>168</v>
      </c>
      <c r="B171" s="20" t="e">
        <f>+(final_results!B171-Raw_Financials!B171)/Raw_Financials!B171</f>
        <v>#DIV/0!</v>
      </c>
      <c r="C171" s="20" t="e">
        <f>+(final_results!C171-Raw_Financials!C171)/Raw_Financials!C171</f>
        <v>#DIV/0!</v>
      </c>
      <c r="D171" s="20" t="e">
        <f>+(final_results!D171-Raw_Financials!D171)/Raw_Financials!D171</f>
        <v>#DIV/0!</v>
      </c>
      <c r="E171" s="20" t="e">
        <f>+(final_results!E171-Raw_Financials!E171)/Raw_Financials!E171</f>
        <v>#DIV/0!</v>
      </c>
      <c r="F171" s="20" t="e">
        <f>+(final_results!F171-Raw_Financials!F171)/Raw_Financials!F171</f>
        <v>#DIV/0!</v>
      </c>
      <c r="G171" s="20" t="e">
        <f>+(final_results!G171-Raw_Financials!G171)/Raw_Financials!G171</f>
        <v>#DIV/0!</v>
      </c>
      <c r="H171" s="20" t="e">
        <f>+(final_results!H171-Raw_Financials!H171)/Raw_Financials!H171</f>
        <v>#DIV/0!</v>
      </c>
      <c r="I171" s="20" t="e">
        <f>+(final_results!I171-Raw_Financials!I171)/Raw_Financials!I171</f>
        <v>#DIV/0!</v>
      </c>
      <c r="J171" s="20" t="e">
        <f>+(final_results!J171-Raw_Financials!J171)/Raw_Financials!J171</f>
        <v>#DIV/0!</v>
      </c>
      <c r="K171" s="20" t="e">
        <f>+(final_results!K171-Raw_Financials!K171)/Raw_Financials!K171</f>
        <v>#DIV/0!</v>
      </c>
    </row>
    <row r="172" spans="1:11">
      <c r="A172" s="5" t="s">
        <v>169</v>
      </c>
      <c r="B172" s="20" t="e">
        <f>+(final_results!B172-Raw_Financials!B172)/Raw_Financials!B172</f>
        <v>#DIV/0!</v>
      </c>
      <c r="C172" s="20" t="e">
        <f>+(final_results!C172-Raw_Financials!C172)/Raw_Financials!C172</f>
        <v>#DIV/0!</v>
      </c>
      <c r="D172" s="20" t="e">
        <f>+(final_results!D172-Raw_Financials!D172)/Raw_Financials!D172</f>
        <v>#DIV/0!</v>
      </c>
      <c r="E172" s="20" t="e">
        <f>+(final_results!E172-Raw_Financials!E172)/Raw_Financials!E172</f>
        <v>#DIV/0!</v>
      </c>
      <c r="F172" s="20" t="e">
        <f>+(final_results!F172-Raw_Financials!F172)/Raw_Financials!F172</f>
        <v>#DIV/0!</v>
      </c>
      <c r="G172" s="20" t="e">
        <f>+(final_results!G172-Raw_Financials!G172)/Raw_Financials!G172</f>
        <v>#DIV/0!</v>
      </c>
      <c r="H172" s="20" t="e">
        <f>+(final_results!H172-Raw_Financials!H172)/Raw_Financials!H172</f>
        <v>#DIV/0!</v>
      </c>
      <c r="I172" s="20" t="e">
        <f>+(final_results!I172-Raw_Financials!I172)/Raw_Financials!I172</f>
        <v>#DIV/0!</v>
      </c>
      <c r="J172" s="20" t="e">
        <f>+(final_results!J172-Raw_Financials!J172)/Raw_Financials!J172</f>
        <v>#DIV/0!</v>
      </c>
      <c r="K172" s="20" t="e">
        <f>+(final_results!K172-Raw_Financials!K172)/Raw_Financials!K172</f>
        <v>#DIV/0!</v>
      </c>
    </row>
    <row r="173" spans="1:11">
      <c r="A173" s="6" t="s">
        <v>170</v>
      </c>
      <c r="B173" s="20" t="e">
        <f>+(final_results!B173-Raw_Financials!B173)/Raw_Financials!B173</f>
        <v>#DIV/0!</v>
      </c>
      <c r="C173" s="20" t="e">
        <f>+(final_results!C173-Raw_Financials!C173)/Raw_Financials!C173</f>
        <v>#DIV/0!</v>
      </c>
      <c r="D173" s="20" t="e">
        <f>+(final_results!D173-Raw_Financials!D173)/Raw_Financials!D173</f>
        <v>#DIV/0!</v>
      </c>
      <c r="E173" s="20" t="e">
        <f>+(final_results!E173-Raw_Financials!E173)/Raw_Financials!E173</f>
        <v>#DIV/0!</v>
      </c>
      <c r="F173" s="20" t="e">
        <f>+(final_results!F173-Raw_Financials!F173)/Raw_Financials!F173</f>
        <v>#DIV/0!</v>
      </c>
      <c r="G173" s="20" t="e">
        <f>+(final_results!G173-Raw_Financials!G173)/Raw_Financials!G173</f>
        <v>#DIV/0!</v>
      </c>
      <c r="H173" s="20" t="e">
        <f>+(final_results!H173-Raw_Financials!H173)/Raw_Financials!H173</f>
        <v>#DIV/0!</v>
      </c>
      <c r="I173" s="20" t="e">
        <f>+(final_results!I173-Raw_Financials!I173)/Raw_Financials!I173</f>
        <v>#DIV/0!</v>
      </c>
      <c r="J173" s="20" t="e">
        <f>+(final_results!J173-Raw_Financials!J173)/Raw_Financials!J173</f>
        <v>#DIV/0!</v>
      </c>
      <c r="K173" s="20" t="e">
        <f>+(final_results!K173-Raw_Financials!K173)/Raw_Financials!K173</f>
        <v>#DIV/0!</v>
      </c>
    </row>
    <row r="174" spans="1:11">
      <c r="A174" s="5" t="s">
        <v>171</v>
      </c>
      <c r="B174" s="20">
        <f>+(final_results!B174-Raw_Financials!B174)/Raw_Financials!B174</f>
        <v>0</v>
      </c>
      <c r="C174" s="20">
        <f>+(final_results!C174-Raw_Financials!C174)/Raw_Financials!C174</f>
        <v>0</v>
      </c>
      <c r="D174" s="20">
        <f>+(final_results!D174-Raw_Financials!D174)/Raw_Financials!D174</f>
        <v>0</v>
      </c>
      <c r="E174" s="20">
        <f>+(final_results!E174-Raw_Financials!E174)/Raw_Financials!E174</f>
        <v>-1.6288683024956408E-16</v>
      </c>
      <c r="F174" s="20">
        <f>+(final_results!F174-Raw_Financials!F174)/Raw_Financials!F174</f>
        <v>-1.3302104798276732E-16</v>
      </c>
      <c r="G174" s="20">
        <f>+(final_results!G174-Raw_Financials!G174)/Raw_Financials!G174</f>
        <v>0</v>
      </c>
      <c r="H174" s="20">
        <f>+(final_results!H174-Raw_Financials!H174)/Raw_Financials!H174</f>
        <v>0</v>
      </c>
      <c r="I174" s="20">
        <f>+(final_results!I174-Raw_Financials!I174)/Raw_Financials!I174</f>
        <v>-1.8149942608662658E-16</v>
      </c>
      <c r="J174" s="20">
        <f>+(final_results!J174-Raw_Financials!J174)/Raw_Financials!J174</f>
        <v>0</v>
      </c>
      <c r="K174" s="20">
        <f>+(final_results!K174-Raw_Financials!K174)/Raw_Financials!K174</f>
        <v>0</v>
      </c>
    </row>
    <row r="175" spans="1:11">
      <c r="A175" s="6" t="s">
        <v>172</v>
      </c>
      <c r="B175" s="20">
        <f>+(final_results!B175-Raw_Financials!B175)/Raw_Financials!B175</f>
        <v>0</v>
      </c>
      <c r="C175" s="20">
        <f>+(final_results!C175-Raw_Financials!C175)/Raw_Financials!C175</f>
        <v>0</v>
      </c>
      <c r="D175" s="20">
        <f>+(final_results!D175-Raw_Financials!D175)/Raw_Financials!D175</f>
        <v>0</v>
      </c>
      <c r="E175" s="20">
        <f>+(final_results!E175-Raw_Financials!E175)/Raw_Financials!E175</f>
        <v>0</v>
      </c>
      <c r="F175" s="20">
        <f>+(final_results!F175-Raw_Financials!F175)/Raw_Financials!F175</f>
        <v>-1.3695794406977356E-16</v>
      </c>
      <c r="G175" s="20">
        <f>+(final_results!G175-Raw_Financials!G175)/Raw_Financials!G175</f>
        <v>0</v>
      </c>
      <c r="H175" s="20">
        <f>+(final_results!H175-Raw_Financials!H175)/Raw_Financials!H175</f>
        <v>0</v>
      </c>
      <c r="I175" s="20">
        <f>+(final_results!I175-Raw_Financials!I175)/Raw_Financials!I175</f>
        <v>0</v>
      </c>
      <c r="J175" s="20">
        <f>+(final_results!J175-Raw_Financials!J175)/Raw_Financials!J175</f>
        <v>0</v>
      </c>
      <c r="K175" s="20">
        <f>+(final_results!K175-Raw_Financials!K175)/Raw_Financials!K175</f>
        <v>-0.17921668584930733</v>
      </c>
    </row>
    <row r="176" spans="1:11">
      <c r="A176" s="5" t="s">
        <v>173</v>
      </c>
      <c r="B176" s="20" t="e">
        <f>+(final_results!B176-Raw_Financials!B176)/Raw_Financials!B176</f>
        <v>#DIV/0!</v>
      </c>
      <c r="C176" s="20" t="e">
        <f>+(final_results!C176-Raw_Financials!C176)/Raw_Financials!C176</f>
        <v>#DIV/0!</v>
      </c>
      <c r="D176" s="20" t="e">
        <f>+(final_results!D176-Raw_Financials!D176)/Raw_Financials!D176</f>
        <v>#DIV/0!</v>
      </c>
      <c r="E176" s="20" t="e">
        <f>+(final_results!E176-Raw_Financials!E176)/Raw_Financials!E176</f>
        <v>#DIV/0!</v>
      </c>
      <c r="F176" s="20" t="e">
        <f>+(final_results!F176-Raw_Financials!F176)/Raw_Financials!F176</f>
        <v>#DIV/0!</v>
      </c>
      <c r="G176" s="20" t="e">
        <f>+(final_results!G176-Raw_Financials!G176)/Raw_Financials!G176</f>
        <v>#DIV/0!</v>
      </c>
      <c r="H176" s="20" t="e">
        <f>+(final_results!H176-Raw_Financials!H176)/Raw_Financials!H176</f>
        <v>#DIV/0!</v>
      </c>
      <c r="I176" s="20" t="e">
        <f>+(final_results!I176-Raw_Financials!I176)/Raw_Financials!I176</f>
        <v>#DIV/0!</v>
      </c>
      <c r="J176" s="20" t="e">
        <f>+(final_results!J176-Raw_Financials!J176)/Raw_Financials!J176</f>
        <v>#DIV/0!</v>
      </c>
      <c r="K176" s="20" t="e">
        <f>+(final_results!K176-Raw_Financials!K176)/Raw_Financials!K176</f>
        <v>#DIV/0!</v>
      </c>
    </row>
    <row r="177" spans="1:11">
      <c r="A177" s="6" t="s">
        <v>174</v>
      </c>
      <c r="B177" s="20" t="e">
        <f>+(final_results!B177-Raw_Financials!B177)/Raw_Financials!B177</f>
        <v>#DIV/0!</v>
      </c>
      <c r="C177" s="20" t="e">
        <f>+(final_results!C177-Raw_Financials!C177)/Raw_Financials!C177</f>
        <v>#DIV/0!</v>
      </c>
      <c r="D177" s="20" t="e">
        <f>+(final_results!D177-Raw_Financials!D177)/Raw_Financials!D177</f>
        <v>#DIV/0!</v>
      </c>
      <c r="E177" s="20" t="e">
        <f>+(final_results!E177-Raw_Financials!E177)/Raw_Financials!E177</f>
        <v>#DIV/0!</v>
      </c>
      <c r="F177" s="20" t="e">
        <f>+(final_results!F177-Raw_Financials!F177)/Raw_Financials!F177</f>
        <v>#DIV/0!</v>
      </c>
      <c r="G177" s="20" t="e">
        <f>+(final_results!G177-Raw_Financials!G177)/Raw_Financials!G177</f>
        <v>#DIV/0!</v>
      </c>
      <c r="H177" s="20" t="e">
        <f>+(final_results!H177-Raw_Financials!H177)/Raw_Financials!H177</f>
        <v>#DIV/0!</v>
      </c>
      <c r="I177" s="20" t="e">
        <f>+(final_results!I177-Raw_Financials!I177)/Raw_Financials!I177</f>
        <v>#DIV/0!</v>
      </c>
      <c r="J177" s="20" t="e">
        <f>+(final_results!J177-Raw_Financials!J177)/Raw_Financials!J177</f>
        <v>#DIV/0!</v>
      </c>
      <c r="K177" s="20" t="e">
        <f>+(final_results!K177-Raw_Financials!K177)/Raw_Financials!K177</f>
        <v>#DIV/0!</v>
      </c>
    </row>
    <row r="178" spans="1:11">
      <c r="A178" s="5" t="s">
        <v>175</v>
      </c>
      <c r="B178" s="20" t="e">
        <f>+(final_results!B178-Raw_Financials!B178)/Raw_Financials!B178</f>
        <v>#DIV/0!</v>
      </c>
      <c r="C178" s="20" t="e">
        <f>+(final_results!C178-Raw_Financials!C178)/Raw_Financials!C178</f>
        <v>#DIV/0!</v>
      </c>
      <c r="D178" s="20" t="e">
        <f>+(final_results!D178-Raw_Financials!D178)/Raw_Financials!D178</f>
        <v>#DIV/0!</v>
      </c>
      <c r="E178" s="20" t="e">
        <f>+(final_results!E178-Raw_Financials!E178)/Raw_Financials!E178</f>
        <v>#DIV/0!</v>
      </c>
      <c r="F178" s="20" t="e">
        <f>+(final_results!F178-Raw_Financials!F178)/Raw_Financials!F178</f>
        <v>#DIV/0!</v>
      </c>
      <c r="G178" s="20" t="e">
        <f>+(final_results!G178-Raw_Financials!G178)/Raw_Financials!G178</f>
        <v>#DIV/0!</v>
      </c>
      <c r="H178" s="20" t="e">
        <f>+(final_results!H178-Raw_Financials!H178)/Raw_Financials!H178</f>
        <v>#DIV/0!</v>
      </c>
      <c r="I178" s="20" t="e">
        <f>+(final_results!I178-Raw_Financials!I178)/Raw_Financials!I178</f>
        <v>#DIV/0!</v>
      </c>
      <c r="J178" s="20" t="e">
        <f>+(final_results!J178-Raw_Financials!J178)/Raw_Financials!J178</f>
        <v>#DIV/0!</v>
      </c>
      <c r="K178" s="20" t="e">
        <f>+(final_results!K178-Raw_Financials!K178)/Raw_Financials!K178</f>
        <v>#DIV/0!</v>
      </c>
    </row>
    <row r="179" spans="1:11">
      <c r="A179" s="6" t="s">
        <v>176</v>
      </c>
      <c r="B179" s="20" t="e">
        <f>+(final_results!B179-Raw_Financials!B179)/Raw_Financials!B179</f>
        <v>#DIV/0!</v>
      </c>
      <c r="C179" s="20" t="e">
        <f>+(final_results!C179-Raw_Financials!C179)/Raw_Financials!C179</f>
        <v>#DIV/0!</v>
      </c>
      <c r="D179" s="20" t="e">
        <f>+(final_results!D179-Raw_Financials!D179)/Raw_Financials!D179</f>
        <v>#DIV/0!</v>
      </c>
      <c r="E179" s="20" t="e">
        <f>+(final_results!E179-Raw_Financials!E179)/Raw_Financials!E179</f>
        <v>#DIV/0!</v>
      </c>
      <c r="F179" s="20" t="e">
        <f>+(final_results!F179-Raw_Financials!F179)/Raw_Financials!F179</f>
        <v>#DIV/0!</v>
      </c>
      <c r="G179" s="20" t="e">
        <f>+(final_results!G179-Raw_Financials!G179)/Raw_Financials!G179</f>
        <v>#DIV/0!</v>
      </c>
      <c r="H179" s="20" t="e">
        <f>+(final_results!H179-Raw_Financials!H179)/Raw_Financials!H179</f>
        <v>#DIV/0!</v>
      </c>
      <c r="I179" s="20" t="e">
        <f>+(final_results!I179-Raw_Financials!I179)/Raw_Financials!I179</f>
        <v>#DIV/0!</v>
      </c>
      <c r="J179" s="20" t="e">
        <f>+(final_results!J179-Raw_Financials!J179)/Raw_Financials!J179</f>
        <v>#DIV/0!</v>
      </c>
      <c r="K179" s="20" t="e">
        <f>+(final_results!K179-Raw_Financials!K179)/Raw_Financials!K179</f>
        <v>#DIV/0!</v>
      </c>
    </row>
    <row r="180" spans="1:11">
      <c r="A180" s="5" t="s">
        <v>177</v>
      </c>
      <c r="B180" s="20" t="e">
        <f>+(final_results!B180-Raw_Financials!B180)/Raw_Financials!B180</f>
        <v>#DIV/0!</v>
      </c>
      <c r="C180" s="20" t="e">
        <f>+(final_results!C180-Raw_Financials!C180)/Raw_Financials!C180</f>
        <v>#DIV/0!</v>
      </c>
      <c r="D180" s="20" t="e">
        <f>+(final_results!D180-Raw_Financials!D180)/Raw_Financials!D180</f>
        <v>#DIV/0!</v>
      </c>
      <c r="E180" s="20" t="e">
        <f>+(final_results!E180-Raw_Financials!E180)/Raw_Financials!E180</f>
        <v>#DIV/0!</v>
      </c>
      <c r="F180" s="20" t="e">
        <f>+(final_results!F180-Raw_Financials!F180)/Raw_Financials!F180</f>
        <v>#DIV/0!</v>
      </c>
      <c r="G180" s="20" t="e">
        <f>+(final_results!G180-Raw_Financials!G180)/Raw_Financials!G180</f>
        <v>#DIV/0!</v>
      </c>
      <c r="H180" s="20" t="e">
        <f>+(final_results!H180-Raw_Financials!H180)/Raw_Financials!H180</f>
        <v>#DIV/0!</v>
      </c>
      <c r="I180" s="20" t="e">
        <f>+(final_results!I180-Raw_Financials!I180)/Raw_Financials!I180</f>
        <v>#DIV/0!</v>
      </c>
      <c r="J180" s="20" t="e">
        <f>+(final_results!J180-Raw_Financials!J180)/Raw_Financials!J180</f>
        <v>#DIV/0!</v>
      </c>
      <c r="K180" s="20" t="e">
        <f>+(final_results!K180-Raw_Financials!K180)/Raw_Financials!K180</f>
        <v>#DIV/0!</v>
      </c>
    </row>
    <row r="181" spans="1:11">
      <c r="A181" s="6" t="s">
        <v>178</v>
      </c>
      <c r="B181" s="20">
        <f>+(final_results!B181-Raw_Financials!B181)/Raw_Financials!B181</f>
        <v>0</v>
      </c>
      <c r="C181" s="20">
        <f>+(final_results!C181-Raw_Financials!C181)/Raw_Financials!C181</f>
        <v>0</v>
      </c>
      <c r="D181" s="20">
        <f>+(final_results!D181-Raw_Financials!D181)/Raw_Financials!D181</f>
        <v>0</v>
      </c>
      <c r="E181" s="20">
        <f>+(final_results!E181-Raw_Financials!E181)/Raw_Financials!E181</f>
        <v>0</v>
      </c>
      <c r="F181" s="20">
        <f>+(final_results!F181-Raw_Financials!F181)/Raw_Financials!F181</f>
        <v>0</v>
      </c>
      <c r="G181" s="20">
        <f>+(final_results!G181-Raw_Financials!G181)/Raw_Financials!G181</f>
        <v>0</v>
      </c>
      <c r="H181" s="20">
        <f>+(final_results!H181-Raw_Financials!H181)/Raw_Financials!H181</f>
        <v>0</v>
      </c>
      <c r="I181" s="20">
        <f>+(final_results!I181-Raw_Financials!I181)/Raw_Financials!I181</f>
        <v>0</v>
      </c>
      <c r="J181" s="20">
        <f>+(final_results!J181-Raw_Financials!J181)/Raw_Financials!J181</f>
        <v>0</v>
      </c>
      <c r="K181" s="20">
        <f>+(final_results!K181-Raw_Financials!K181)/Raw_Financials!K181</f>
        <v>-0.43915151391735546</v>
      </c>
    </row>
    <row r="182" spans="1:11">
      <c r="A182" s="5" t="s">
        <v>179</v>
      </c>
      <c r="B182" s="20" t="e">
        <f>+(final_results!B182-Raw_Financials!B182)/Raw_Financials!B182</f>
        <v>#DIV/0!</v>
      </c>
      <c r="C182" s="20" t="e">
        <f>+(final_results!C182-Raw_Financials!C182)/Raw_Financials!C182</f>
        <v>#DIV/0!</v>
      </c>
      <c r="D182" s="20" t="e">
        <f>+(final_results!D182-Raw_Financials!D182)/Raw_Financials!D182</f>
        <v>#DIV/0!</v>
      </c>
      <c r="E182" s="20" t="e">
        <f>+(final_results!E182-Raw_Financials!E182)/Raw_Financials!E182</f>
        <v>#DIV/0!</v>
      </c>
      <c r="F182" s="20" t="e">
        <f>+(final_results!F182-Raw_Financials!F182)/Raw_Financials!F182</f>
        <v>#DIV/0!</v>
      </c>
      <c r="G182" s="20" t="e">
        <f>+(final_results!G182-Raw_Financials!G182)/Raw_Financials!G182</f>
        <v>#DIV/0!</v>
      </c>
      <c r="H182" s="20" t="e">
        <f>+(final_results!H182-Raw_Financials!H182)/Raw_Financials!H182</f>
        <v>#DIV/0!</v>
      </c>
      <c r="I182" s="20" t="e">
        <f>+(final_results!I182-Raw_Financials!I182)/Raw_Financials!I182</f>
        <v>#DIV/0!</v>
      </c>
      <c r="J182" s="20" t="e">
        <f>+(final_results!J182-Raw_Financials!J182)/Raw_Financials!J182</f>
        <v>#DIV/0!</v>
      </c>
      <c r="K182" s="20" t="e">
        <f>+(final_results!K182-Raw_Financials!K182)/Raw_Financials!K182</f>
        <v>#DIV/0!</v>
      </c>
    </row>
    <row r="183" spans="1:11">
      <c r="A183" s="6" t="s">
        <v>180</v>
      </c>
      <c r="B183" s="20" t="e">
        <f>+(final_results!B183-Raw_Financials!B183)/Raw_Financials!B183</f>
        <v>#DIV/0!</v>
      </c>
      <c r="C183" s="20" t="e">
        <f>+(final_results!C183-Raw_Financials!C183)/Raw_Financials!C183</f>
        <v>#DIV/0!</v>
      </c>
      <c r="D183" s="20" t="e">
        <f>+(final_results!D183-Raw_Financials!D183)/Raw_Financials!D183</f>
        <v>#DIV/0!</v>
      </c>
      <c r="E183" s="20" t="e">
        <f>+(final_results!E183-Raw_Financials!E183)/Raw_Financials!E183</f>
        <v>#DIV/0!</v>
      </c>
      <c r="F183" s="20" t="e">
        <f>+(final_results!F183-Raw_Financials!F183)/Raw_Financials!F183</f>
        <v>#DIV/0!</v>
      </c>
      <c r="G183" s="20" t="e">
        <f>+(final_results!G183-Raw_Financials!G183)/Raw_Financials!G183</f>
        <v>#DIV/0!</v>
      </c>
      <c r="H183" s="20" t="e">
        <f>+(final_results!H183-Raw_Financials!H183)/Raw_Financials!H183</f>
        <v>#DIV/0!</v>
      </c>
      <c r="I183" s="20" t="e">
        <f>+(final_results!I183-Raw_Financials!I183)/Raw_Financials!I183</f>
        <v>#DIV/0!</v>
      </c>
      <c r="J183" s="20" t="e">
        <f>+(final_results!J183-Raw_Financials!J183)/Raw_Financials!J183</f>
        <v>#DIV/0!</v>
      </c>
      <c r="K183" s="20" t="e">
        <f>+(final_results!K183-Raw_Financials!K183)/Raw_Financials!K183</f>
        <v>#DIV/0!</v>
      </c>
    </row>
    <row r="184" spans="1:11">
      <c r="A184" s="5" t="s">
        <v>181</v>
      </c>
      <c r="B184" s="20" t="e">
        <f>+(final_results!B184-Raw_Financials!B184)/Raw_Financials!B184</f>
        <v>#DIV/0!</v>
      </c>
      <c r="C184" s="20" t="e">
        <f>+(final_results!C184-Raw_Financials!C184)/Raw_Financials!C184</f>
        <v>#DIV/0!</v>
      </c>
      <c r="D184" s="20" t="e">
        <f>+(final_results!D184-Raw_Financials!D184)/Raw_Financials!D184</f>
        <v>#DIV/0!</v>
      </c>
      <c r="E184" s="20" t="e">
        <f>+(final_results!E184-Raw_Financials!E184)/Raw_Financials!E184</f>
        <v>#DIV/0!</v>
      </c>
      <c r="F184" s="20" t="e">
        <f>+(final_results!F184-Raw_Financials!F184)/Raw_Financials!F184</f>
        <v>#DIV/0!</v>
      </c>
      <c r="G184" s="20" t="e">
        <f>+(final_results!G184-Raw_Financials!G184)/Raw_Financials!G184</f>
        <v>#DIV/0!</v>
      </c>
      <c r="H184" s="20" t="e">
        <f>+(final_results!H184-Raw_Financials!H184)/Raw_Financials!H184</f>
        <v>#DIV/0!</v>
      </c>
      <c r="I184" s="20" t="e">
        <f>+(final_results!I184-Raw_Financials!I184)/Raw_Financials!I184</f>
        <v>#DIV/0!</v>
      </c>
      <c r="J184" s="20" t="e">
        <f>+(final_results!J184-Raw_Financials!J184)/Raw_Financials!J184</f>
        <v>#DIV/0!</v>
      </c>
      <c r="K184" s="20" t="e">
        <f>+(final_results!K184-Raw_Financials!K184)/Raw_Financials!K184</f>
        <v>#DIV/0!</v>
      </c>
    </row>
    <row r="185" spans="1:11">
      <c r="A185" s="6" t="s">
        <v>182</v>
      </c>
      <c r="B185" s="20" t="e">
        <f>+(final_results!B185-Raw_Financials!B185)/Raw_Financials!B185</f>
        <v>#DIV/0!</v>
      </c>
      <c r="C185" s="20" t="e">
        <f>+(final_results!C185-Raw_Financials!C185)/Raw_Financials!C185</f>
        <v>#DIV/0!</v>
      </c>
      <c r="D185" s="20" t="e">
        <f>+(final_results!D185-Raw_Financials!D185)/Raw_Financials!D185</f>
        <v>#DIV/0!</v>
      </c>
      <c r="E185" s="20" t="e">
        <f>+(final_results!E185-Raw_Financials!E185)/Raw_Financials!E185</f>
        <v>#DIV/0!</v>
      </c>
      <c r="F185" s="20" t="e">
        <f>+(final_results!F185-Raw_Financials!F185)/Raw_Financials!F185</f>
        <v>#DIV/0!</v>
      </c>
      <c r="G185" s="20" t="e">
        <f>+(final_results!G185-Raw_Financials!G185)/Raw_Financials!G185</f>
        <v>#DIV/0!</v>
      </c>
      <c r="H185" s="20" t="e">
        <f>+(final_results!H185-Raw_Financials!H185)/Raw_Financials!H185</f>
        <v>#DIV/0!</v>
      </c>
      <c r="I185" s="20" t="e">
        <f>+(final_results!I185-Raw_Financials!I185)/Raw_Financials!I185</f>
        <v>#DIV/0!</v>
      </c>
      <c r="J185" s="20" t="e">
        <f>+(final_results!J185-Raw_Financials!J185)/Raw_Financials!J185</f>
        <v>#DIV/0!</v>
      </c>
      <c r="K185" s="20" t="e">
        <f>+(final_results!K185-Raw_Financials!K185)/Raw_Financials!K185</f>
        <v>#DIV/0!</v>
      </c>
    </row>
    <row r="186" spans="1:11">
      <c r="A186" s="5" t="s">
        <v>183</v>
      </c>
      <c r="B186" s="20" t="e">
        <f>+(final_results!B186-Raw_Financials!B186)/Raw_Financials!B186</f>
        <v>#DIV/0!</v>
      </c>
      <c r="C186" s="20" t="e">
        <f>+(final_results!C186-Raw_Financials!C186)/Raw_Financials!C186</f>
        <v>#DIV/0!</v>
      </c>
      <c r="D186" s="20">
        <f>+(final_results!D186-Raw_Financials!D186)/Raw_Financials!D186</f>
        <v>0</v>
      </c>
      <c r="E186" s="20">
        <f>+(final_results!E186-Raw_Financials!E186)/Raw_Financials!E186</f>
        <v>0</v>
      </c>
      <c r="F186" s="20">
        <f>+(final_results!F186-Raw_Financials!F186)/Raw_Financials!F186</f>
        <v>0</v>
      </c>
      <c r="G186" s="20">
        <f>+(final_results!G186-Raw_Financials!G186)/Raw_Financials!G186</f>
        <v>0</v>
      </c>
      <c r="H186" s="20">
        <f>+(final_results!H186-Raw_Financials!H186)/Raw_Financials!H186</f>
        <v>0</v>
      </c>
      <c r="I186" s="20">
        <f>+(final_results!I186-Raw_Financials!I186)/Raw_Financials!I186</f>
        <v>0</v>
      </c>
      <c r="J186" s="20">
        <f>+(final_results!J186-Raw_Financials!J186)/Raw_Financials!J186</f>
        <v>0</v>
      </c>
      <c r="K186" s="20">
        <f>+(final_results!K186-Raw_Financials!K186)/Raw_Financials!K186</f>
        <v>1.1554473935812502E-16</v>
      </c>
    </row>
    <row r="187" spans="1:11">
      <c r="A187" s="6" t="s">
        <v>184</v>
      </c>
      <c r="B187" s="20" t="e">
        <f>+(final_results!B187-Raw_Financials!B187)/Raw_Financials!B187</f>
        <v>#DIV/0!</v>
      </c>
      <c r="C187" s="20" t="e">
        <f>+(final_results!C187-Raw_Financials!C187)/Raw_Financials!C187</f>
        <v>#DIV/0!</v>
      </c>
      <c r="D187" s="20" t="e">
        <f>+(final_results!D187-Raw_Financials!D187)/Raw_Financials!D187</f>
        <v>#DIV/0!</v>
      </c>
      <c r="E187" s="20" t="e">
        <f>+(final_results!E187-Raw_Financials!E187)/Raw_Financials!E187</f>
        <v>#DIV/0!</v>
      </c>
      <c r="F187" s="20" t="e">
        <f>+(final_results!F187-Raw_Financials!F187)/Raw_Financials!F187</f>
        <v>#DIV/0!</v>
      </c>
      <c r="G187" s="20" t="e">
        <f>+(final_results!G187-Raw_Financials!G187)/Raw_Financials!G187</f>
        <v>#DIV/0!</v>
      </c>
      <c r="H187" s="20" t="e">
        <f>+(final_results!H187-Raw_Financials!H187)/Raw_Financials!H187</f>
        <v>#DIV/0!</v>
      </c>
      <c r="I187" s="20" t="e">
        <f>+(final_results!I187-Raw_Financials!I187)/Raw_Financials!I187</f>
        <v>#DIV/0!</v>
      </c>
      <c r="J187" s="20" t="e">
        <f>+(final_results!J187-Raw_Financials!J187)/Raw_Financials!J187</f>
        <v>#DIV/0!</v>
      </c>
      <c r="K187" s="20" t="e">
        <f>+(final_results!K187-Raw_Financials!K187)/Raw_Financials!K187</f>
        <v>#DIV/0!</v>
      </c>
    </row>
    <row r="188" spans="1:11">
      <c r="A188" s="5" t="s">
        <v>185</v>
      </c>
      <c r="B188" s="20">
        <f>+(final_results!B188-Raw_Financials!B188)/Raw_Financials!B188</f>
        <v>0</v>
      </c>
      <c r="C188" s="20">
        <f>+(final_results!C188-Raw_Financials!C188)/Raw_Financials!C188</f>
        <v>0</v>
      </c>
      <c r="D188" s="20">
        <f>+(final_results!D188-Raw_Financials!D188)/Raw_Financials!D188</f>
        <v>0</v>
      </c>
      <c r="E188" s="20">
        <f>+(final_results!E188-Raw_Financials!E188)/Raw_Financials!E188</f>
        <v>0</v>
      </c>
      <c r="F188" s="20">
        <f>+(final_results!F188-Raw_Financials!F188)/Raw_Financials!F188</f>
        <v>0</v>
      </c>
      <c r="G188" s="20">
        <f>+(final_results!G188-Raw_Financials!G188)/Raw_Financials!G188</f>
        <v>0</v>
      </c>
      <c r="H188" s="20">
        <f>+(final_results!H188-Raw_Financials!H188)/Raw_Financials!H188</f>
        <v>0</v>
      </c>
      <c r="I188" s="20">
        <f>+(final_results!I188-Raw_Financials!I188)/Raw_Financials!I188</f>
        <v>0</v>
      </c>
      <c r="J188" s="20">
        <f>+(final_results!J188-Raw_Financials!J188)/Raw_Financials!J188</f>
        <v>0</v>
      </c>
      <c r="K188" s="20">
        <f>+(final_results!K188-Raw_Financials!K188)/Raw_Financials!K188</f>
        <v>0</v>
      </c>
    </row>
    <row r="189" spans="1:11">
      <c r="A189" s="6" t="s">
        <v>186</v>
      </c>
      <c r="B189" s="20" t="e">
        <f>+(final_results!B189-Raw_Financials!B189)/Raw_Financials!B189</f>
        <v>#DIV/0!</v>
      </c>
      <c r="C189" s="20" t="e">
        <f>+(final_results!C189-Raw_Financials!C189)/Raw_Financials!C189</f>
        <v>#DIV/0!</v>
      </c>
      <c r="D189" s="20" t="e">
        <f>+(final_results!D189-Raw_Financials!D189)/Raw_Financials!D189</f>
        <v>#DIV/0!</v>
      </c>
      <c r="E189" s="20" t="e">
        <f>+(final_results!E189-Raw_Financials!E189)/Raw_Financials!E189</f>
        <v>#DIV/0!</v>
      </c>
      <c r="F189" s="20" t="e">
        <f>+(final_results!F189-Raw_Financials!F189)/Raw_Financials!F189</f>
        <v>#DIV/0!</v>
      </c>
      <c r="G189" s="20" t="e">
        <f>+(final_results!G189-Raw_Financials!G189)/Raw_Financials!G189</f>
        <v>#DIV/0!</v>
      </c>
      <c r="H189" s="20" t="e">
        <f>+(final_results!H189-Raw_Financials!H189)/Raw_Financials!H189</f>
        <v>#DIV/0!</v>
      </c>
      <c r="I189" s="20" t="e">
        <f>+(final_results!I189-Raw_Financials!I189)/Raw_Financials!I189</f>
        <v>#DIV/0!</v>
      </c>
      <c r="J189" s="20" t="e">
        <f>+(final_results!J189-Raw_Financials!J189)/Raw_Financials!J189</f>
        <v>#DIV/0!</v>
      </c>
      <c r="K189" s="20" t="e">
        <f>+(final_results!K189-Raw_Financials!K189)/Raw_Financials!K189</f>
        <v>#DIV/0!</v>
      </c>
    </row>
    <row r="190" spans="1:11">
      <c r="A190" s="5" t="s">
        <v>187</v>
      </c>
      <c r="B190" s="20" t="e">
        <f>+(final_results!B190-Raw_Financials!B190)/Raw_Financials!B190</f>
        <v>#DIV/0!</v>
      </c>
      <c r="C190" s="20" t="e">
        <f>+(final_results!C190-Raw_Financials!C190)/Raw_Financials!C190</f>
        <v>#DIV/0!</v>
      </c>
      <c r="D190" s="20" t="e">
        <f>+(final_results!D190-Raw_Financials!D190)/Raw_Financials!D190</f>
        <v>#DIV/0!</v>
      </c>
      <c r="E190" s="20" t="e">
        <f>+(final_results!E190-Raw_Financials!E190)/Raw_Financials!E190</f>
        <v>#DIV/0!</v>
      </c>
      <c r="F190" s="20" t="e">
        <f>+(final_results!F190-Raw_Financials!F190)/Raw_Financials!F190</f>
        <v>#DIV/0!</v>
      </c>
      <c r="G190" s="20" t="e">
        <f>+(final_results!G190-Raw_Financials!G190)/Raw_Financials!G190</f>
        <v>#DIV/0!</v>
      </c>
      <c r="H190" s="20" t="e">
        <f>+(final_results!H190-Raw_Financials!H190)/Raw_Financials!H190</f>
        <v>#DIV/0!</v>
      </c>
      <c r="I190" s="20" t="e">
        <f>+(final_results!I190-Raw_Financials!I190)/Raw_Financials!I190</f>
        <v>#DIV/0!</v>
      </c>
      <c r="J190" s="20" t="e">
        <f>+(final_results!J190-Raw_Financials!J190)/Raw_Financials!J190</f>
        <v>#DIV/0!</v>
      </c>
      <c r="K190" s="20" t="e">
        <f>+(final_results!K190-Raw_Financials!K190)/Raw_Financials!K190</f>
        <v>#DIV/0!</v>
      </c>
    </row>
    <row r="191" spans="1:11">
      <c r="A191" s="6" t="s">
        <v>188</v>
      </c>
      <c r="B191" s="20" t="e">
        <f>+(final_results!B191-Raw_Financials!B191)/Raw_Financials!B191</f>
        <v>#DIV/0!</v>
      </c>
      <c r="C191" s="20" t="e">
        <f>+(final_results!C191-Raw_Financials!C191)/Raw_Financials!C191</f>
        <v>#DIV/0!</v>
      </c>
      <c r="D191" s="20" t="e">
        <f>+(final_results!D191-Raw_Financials!D191)/Raw_Financials!D191</f>
        <v>#DIV/0!</v>
      </c>
      <c r="E191" s="20" t="e">
        <f>+(final_results!E191-Raw_Financials!E191)/Raw_Financials!E191</f>
        <v>#DIV/0!</v>
      </c>
      <c r="F191" s="20" t="e">
        <f>+(final_results!F191-Raw_Financials!F191)/Raw_Financials!F191</f>
        <v>#DIV/0!</v>
      </c>
      <c r="G191" s="20" t="e">
        <f>+(final_results!G191-Raw_Financials!G191)/Raw_Financials!G191</f>
        <v>#DIV/0!</v>
      </c>
      <c r="H191" s="20" t="e">
        <f>+(final_results!H191-Raw_Financials!H191)/Raw_Financials!H191</f>
        <v>#DIV/0!</v>
      </c>
      <c r="I191" s="20" t="e">
        <f>+(final_results!I191-Raw_Financials!I191)/Raw_Financials!I191</f>
        <v>#DIV/0!</v>
      </c>
      <c r="J191" s="20" t="e">
        <f>+(final_results!J191-Raw_Financials!J191)/Raw_Financials!J191</f>
        <v>#DIV/0!</v>
      </c>
      <c r="K191" s="20" t="e">
        <f>+(final_results!K191-Raw_Financials!K191)/Raw_Financials!K191</f>
        <v>#DIV/0!</v>
      </c>
    </row>
    <row r="192" spans="1:11">
      <c r="A192" s="5" t="s">
        <v>189</v>
      </c>
      <c r="B192" s="20" t="e">
        <f>+(final_results!B192-Raw_Financials!B192)/Raw_Financials!B192</f>
        <v>#DIV/0!</v>
      </c>
      <c r="C192" s="20" t="e">
        <f>+(final_results!C192-Raw_Financials!C192)/Raw_Financials!C192</f>
        <v>#DIV/0!</v>
      </c>
      <c r="D192" s="20" t="e">
        <f>+(final_results!D192-Raw_Financials!D192)/Raw_Financials!D192</f>
        <v>#DIV/0!</v>
      </c>
      <c r="E192" s="20" t="e">
        <f>+(final_results!E192-Raw_Financials!E192)/Raw_Financials!E192</f>
        <v>#DIV/0!</v>
      </c>
      <c r="F192" s="20" t="e">
        <f>+(final_results!F192-Raw_Financials!F192)/Raw_Financials!F192</f>
        <v>#DIV/0!</v>
      </c>
      <c r="G192" s="20" t="e">
        <f>+(final_results!G192-Raw_Financials!G192)/Raw_Financials!G192</f>
        <v>#DIV/0!</v>
      </c>
      <c r="H192" s="20" t="e">
        <f>+(final_results!H192-Raw_Financials!H192)/Raw_Financials!H192</f>
        <v>#DIV/0!</v>
      </c>
      <c r="I192" s="20" t="e">
        <f>+(final_results!I192-Raw_Financials!I192)/Raw_Financials!I192</f>
        <v>#DIV/0!</v>
      </c>
      <c r="J192" s="20" t="e">
        <f>+(final_results!J192-Raw_Financials!J192)/Raw_Financials!J192</f>
        <v>#DIV/0!</v>
      </c>
      <c r="K192" s="20" t="e">
        <f>+(final_results!K192-Raw_Financials!K192)/Raw_Financials!K192</f>
        <v>#DIV/0!</v>
      </c>
    </row>
    <row r="193" spans="1:11">
      <c r="A193" s="7" t="s">
        <v>190</v>
      </c>
      <c r="B193" s="20">
        <f>+(final_results!B193-Raw_Financials!B193)/Raw_Financials!B193</f>
        <v>-0.33810938700695298</v>
      </c>
      <c r="C193" s="20">
        <f>+(final_results!C193-Raw_Financials!C193)/Raw_Financials!C193</f>
        <v>0</v>
      </c>
      <c r="D193" s="20">
        <f>+(final_results!D193-Raw_Financials!D193)/Raw_Financials!D193</f>
        <v>0</v>
      </c>
      <c r="E193" s="20">
        <f>+(final_results!E193-Raw_Financials!E193)/Raw_Financials!E193</f>
        <v>-1.476278088542186E-16</v>
      </c>
      <c r="F193" s="20">
        <f>+(final_results!F193-Raw_Financials!F193)/Raw_Financials!F193</f>
        <v>0</v>
      </c>
      <c r="G193" s="20">
        <f>+(final_results!G193-Raw_Financials!G193)/Raw_Financials!G193</f>
        <v>0</v>
      </c>
      <c r="H193" s="20">
        <f>+(final_results!H193-Raw_Financials!H193)/Raw_Financials!H193</f>
        <v>0</v>
      </c>
      <c r="I193" s="20">
        <f>+(final_results!I193-Raw_Financials!I193)/Raw_Financials!I193</f>
        <v>0</v>
      </c>
      <c r="J193" s="20">
        <f>+(final_results!J193-Raw_Financials!J193)/Raw_Financials!J193</f>
        <v>0</v>
      </c>
      <c r="K193" s="20">
        <f>+(final_results!K193-Raw_Financials!K193)/Raw_Financials!K193</f>
        <v>0</v>
      </c>
    </row>
    <row r="194" spans="1:11">
      <c r="A194" s="5" t="s">
        <v>191</v>
      </c>
      <c r="B194" s="20">
        <f>+(final_results!B194-Raw_Financials!B194)/Raw_Financials!B194</f>
        <v>-1.2744503951771099E-16</v>
      </c>
      <c r="C194" s="20">
        <f>+(final_results!C194-Raw_Financials!C194)/Raw_Financials!C194</f>
        <v>0</v>
      </c>
      <c r="D194" s="20">
        <f>+(final_results!D194-Raw_Financials!D194)/Raw_Financials!D194</f>
        <v>0</v>
      </c>
      <c r="E194" s="20">
        <f>+(final_results!E194-Raw_Financials!E194)/Raw_Financials!E194</f>
        <v>1.1613896683257737E-16</v>
      </c>
      <c r="F194" s="20">
        <f>+(final_results!F194-Raw_Financials!F194)/Raw_Financials!F194</f>
        <v>1.1319168071433119E-16</v>
      </c>
      <c r="G194" s="20">
        <f>+(final_results!G194-Raw_Financials!G194)/Raw_Financials!G194</f>
        <v>0</v>
      </c>
      <c r="H194" s="20">
        <f>+(final_results!H194-Raw_Financials!H194)/Raw_Financials!H194</f>
        <v>0</v>
      </c>
      <c r="I194" s="20">
        <f>+(final_results!I194-Raw_Financials!I194)/Raw_Financials!I194</f>
        <v>-1.344575252963724E-16</v>
      </c>
      <c r="J194" s="20">
        <f>+(final_results!J194-Raw_Financials!J194)/Raw_Financials!J194</f>
        <v>-1.1472149294121961E-16</v>
      </c>
      <c r="K194" s="20">
        <f>+(final_results!K194-Raw_Financials!K194)/Raw_Financials!K194</f>
        <v>-0.92323767170139426</v>
      </c>
    </row>
    <row r="195" spans="1:11">
      <c r="A195" s="6" t="s">
        <v>192</v>
      </c>
      <c r="B195" s="20">
        <f>+(final_results!B195-Raw_Financials!B195)/Raw_Financials!B195</f>
        <v>0</v>
      </c>
      <c r="C195" s="20">
        <f>+(final_results!C195-Raw_Financials!C195)/Raw_Financials!C195</f>
        <v>0</v>
      </c>
      <c r="D195" s="20">
        <f>+(final_results!D195-Raw_Financials!D195)/Raw_Financials!D195</f>
        <v>0</v>
      </c>
      <c r="E195" s="20">
        <f>+(final_results!E195-Raw_Financials!E195)/Raw_Financials!E195</f>
        <v>0</v>
      </c>
      <c r="F195" s="20">
        <f>+(final_results!F195-Raw_Financials!F195)/Raw_Financials!F195</f>
        <v>0</v>
      </c>
      <c r="G195" s="20">
        <f>+(final_results!G195-Raw_Financials!G195)/Raw_Financials!G195</f>
        <v>0</v>
      </c>
      <c r="H195" s="20">
        <f>+(final_results!H195-Raw_Financials!H195)/Raw_Financials!H195</f>
        <v>0</v>
      </c>
      <c r="I195" s="20">
        <f>+(final_results!I195-Raw_Financials!I195)/Raw_Financials!I195</f>
        <v>0</v>
      </c>
      <c r="J195" s="20">
        <f>+(final_results!J195-Raw_Financials!J195)/Raw_Financials!J195</f>
        <v>0</v>
      </c>
      <c r="K195" s="20">
        <f>+(final_results!K195-Raw_Financials!K195)/Raw_Financials!K195</f>
        <v>0</v>
      </c>
    </row>
    <row r="196" spans="1:11">
      <c r="A196" s="5" t="s">
        <v>193</v>
      </c>
      <c r="B196" s="20" t="e">
        <f>+(final_results!B196-Raw_Financials!B196)/Raw_Financials!B196</f>
        <v>#DIV/0!</v>
      </c>
      <c r="C196" s="20" t="e">
        <f>+(final_results!C196-Raw_Financials!C196)/Raw_Financials!C196</f>
        <v>#DIV/0!</v>
      </c>
      <c r="D196" s="20" t="e">
        <f>+(final_results!D196-Raw_Financials!D196)/Raw_Financials!D196</f>
        <v>#DIV/0!</v>
      </c>
      <c r="E196" s="20" t="e">
        <f>+(final_results!E196-Raw_Financials!E196)/Raw_Financials!E196</f>
        <v>#DIV/0!</v>
      </c>
      <c r="F196" s="20" t="e">
        <f>+(final_results!F196-Raw_Financials!F196)/Raw_Financials!F196</f>
        <v>#DIV/0!</v>
      </c>
      <c r="G196" s="20" t="e">
        <f>+(final_results!G196-Raw_Financials!G196)/Raw_Financials!G196</f>
        <v>#DIV/0!</v>
      </c>
      <c r="H196" s="20" t="e">
        <f>+(final_results!H196-Raw_Financials!H196)/Raw_Financials!H196</f>
        <v>#DIV/0!</v>
      </c>
      <c r="I196" s="20" t="e">
        <f>+(final_results!I196-Raw_Financials!I196)/Raw_Financials!I196</f>
        <v>#DIV/0!</v>
      </c>
      <c r="J196" s="20" t="e">
        <f>+(final_results!J196-Raw_Financials!J196)/Raw_Financials!J196</f>
        <v>#DIV/0!</v>
      </c>
      <c r="K196" s="20" t="e">
        <f>+(final_results!K196-Raw_Financials!K196)/Raw_Financials!K196</f>
        <v>#DIV/0!</v>
      </c>
    </row>
    <row r="197" spans="1:11">
      <c r="A197" s="6" t="s">
        <v>194</v>
      </c>
      <c r="B197" s="20" t="e">
        <f>+(final_results!B197-Raw_Financials!B197)/Raw_Financials!B197</f>
        <v>#DIV/0!</v>
      </c>
      <c r="C197" s="20" t="e">
        <f>+(final_results!C197-Raw_Financials!C197)/Raw_Financials!C197</f>
        <v>#DIV/0!</v>
      </c>
      <c r="D197" s="20" t="e">
        <f>+(final_results!D197-Raw_Financials!D197)/Raw_Financials!D197</f>
        <v>#DIV/0!</v>
      </c>
      <c r="E197" s="20" t="e">
        <f>+(final_results!E197-Raw_Financials!E197)/Raw_Financials!E197</f>
        <v>#DIV/0!</v>
      </c>
      <c r="F197" s="20" t="e">
        <f>+(final_results!F197-Raw_Financials!F197)/Raw_Financials!F197</f>
        <v>#DIV/0!</v>
      </c>
      <c r="G197" s="20" t="e">
        <f>+(final_results!G197-Raw_Financials!G197)/Raw_Financials!G197</f>
        <v>#DIV/0!</v>
      </c>
      <c r="H197" s="20" t="e">
        <f>+(final_results!H197-Raw_Financials!H197)/Raw_Financials!H197</f>
        <v>#DIV/0!</v>
      </c>
      <c r="I197" s="20" t="e">
        <f>+(final_results!I197-Raw_Financials!I197)/Raw_Financials!I197</f>
        <v>#DIV/0!</v>
      </c>
      <c r="J197" s="20" t="e">
        <f>+(final_results!J197-Raw_Financials!J197)/Raw_Financials!J197</f>
        <v>#DIV/0!</v>
      </c>
      <c r="K197" s="20" t="e">
        <f>+(final_results!K197-Raw_Financials!K197)/Raw_Financials!K197</f>
        <v>#DIV/0!</v>
      </c>
    </row>
    <row r="198" spans="1:11">
      <c r="A198" s="7" t="s">
        <v>195</v>
      </c>
      <c r="B198" s="20">
        <f>+(final_results!B198-Raw_Financials!B198)/Raw_Financials!B198</f>
        <v>0</v>
      </c>
      <c r="C198" s="20">
        <f>+(final_results!C198-Raw_Financials!C198)/Raw_Financials!C198</f>
        <v>0</v>
      </c>
      <c r="D198" s="20">
        <f>+(final_results!D198-Raw_Financials!D198)/Raw_Financials!D198</f>
        <v>0</v>
      </c>
      <c r="E198" s="20">
        <f>+(final_results!E198-Raw_Financials!E198)/Raw_Financials!E198</f>
        <v>0</v>
      </c>
      <c r="F198" s="20">
        <f>+(final_results!F198-Raw_Financials!F198)/Raw_Financials!F198</f>
        <v>0</v>
      </c>
      <c r="G198" s="20">
        <f>+(final_results!G198-Raw_Financials!G198)/Raw_Financials!G198</f>
        <v>0</v>
      </c>
      <c r="H198" s="20">
        <f>+(final_results!H198-Raw_Financials!H198)/Raw_Financials!H198</f>
        <v>0</v>
      </c>
      <c r="I198" s="20">
        <f>+(final_results!I198-Raw_Financials!I198)/Raw_Financials!I198</f>
        <v>0</v>
      </c>
      <c r="J198" s="20">
        <f>+(final_results!J198-Raw_Financials!J198)/Raw_Financials!J198</f>
        <v>0</v>
      </c>
      <c r="K198" s="20">
        <f>+(final_results!K198-Raw_Financials!K198)/Raw_Financials!K198</f>
        <v>-0.19426760310504196</v>
      </c>
    </row>
    <row r="199" spans="1:11">
      <c r="A199" s="6" t="s">
        <v>196</v>
      </c>
      <c r="B199" s="20">
        <f>+(final_results!B199-Raw_Financials!B199)/Raw_Financials!B199</f>
        <v>0</v>
      </c>
      <c r="C199" s="20">
        <f>+(final_results!C199-Raw_Financials!C199)/Raw_Financials!C199</f>
        <v>0</v>
      </c>
      <c r="D199" s="20">
        <f>+(final_results!D199-Raw_Financials!D199)/Raw_Financials!D199</f>
        <v>-1.3234025866514364E-3</v>
      </c>
      <c r="E199" s="20">
        <f>+(final_results!E199-Raw_Financials!E199)/Raw_Financials!E199</f>
        <v>0</v>
      </c>
      <c r="F199" s="20" t="e">
        <f>+(final_results!F199-Raw_Financials!F199)/Raw_Financials!F199</f>
        <v>#DIV/0!</v>
      </c>
      <c r="G199" s="20" t="e">
        <f>+(final_results!G199-Raw_Financials!G199)/Raw_Financials!G199</f>
        <v>#DIV/0!</v>
      </c>
      <c r="H199" s="20" t="e">
        <f>+(final_results!H199-Raw_Financials!H199)/Raw_Financials!H199</f>
        <v>#DIV/0!</v>
      </c>
      <c r="I199" s="20">
        <f>+(final_results!I199-Raw_Financials!I199)/Raw_Financials!I199</f>
        <v>0</v>
      </c>
      <c r="J199" s="20" t="e">
        <f>+(final_results!J199-Raw_Financials!J199)/Raw_Financials!J199</f>
        <v>#DIV/0!</v>
      </c>
      <c r="K199" s="20" t="e">
        <f>+(final_results!K199-Raw_Financials!K199)/Raw_Financials!K199</f>
        <v>#DIV/0!</v>
      </c>
    </row>
    <row r="200" spans="1:11">
      <c r="A200" s="5" t="s">
        <v>197</v>
      </c>
      <c r="B200" s="20" t="e">
        <f>+(final_results!B200-Raw_Financials!B200)/Raw_Financials!B200</f>
        <v>#DIV/0!</v>
      </c>
      <c r="C200" s="20" t="e">
        <f>+(final_results!C200-Raw_Financials!C200)/Raw_Financials!C200</f>
        <v>#DIV/0!</v>
      </c>
      <c r="D200" s="20">
        <f>+(final_results!D200-Raw_Financials!D200)/Raw_Financials!D200</f>
        <v>0</v>
      </c>
      <c r="E200" s="20">
        <f>+(final_results!E200-Raw_Financials!E200)/Raw_Financials!E200</f>
        <v>1.2179340688380187E-16</v>
      </c>
      <c r="F200" s="20" t="e">
        <f>+(final_results!F200-Raw_Financials!F200)/Raw_Financials!F200</f>
        <v>#DIV/0!</v>
      </c>
      <c r="G200" s="20">
        <f>+(final_results!G200-Raw_Financials!G200)/Raw_Financials!G200</f>
        <v>-0.64153429771224757</v>
      </c>
      <c r="H200" s="20" t="e">
        <f>+(final_results!H200-Raw_Financials!H200)/Raw_Financials!H200</f>
        <v>#DIV/0!</v>
      </c>
      <c r="I200" s="20">
        <f>+(final_results!I200-Raw_Financials!I200)/Raw_Financials!I200</f>
        <v>0</v>
      </c>
      <c r="J200" s="20">
        <f>+(final_results!J200-Raw_Financials!J200)/Raw_Financials!J200</f>
        <v>-0.98181534553576755</v>
      </c>
      <c r="K200" s="20">
        <f>+(final_results!K200-Raw_Financials!K200)/Raw_Financials!K200</f>
        <v>-0.99824314823815463</v>
      </c>
    </row>
    <row r="201" spans="1:11">
      <c r="A201" s="6" t="s">
        <v>198</v>
      </c>
      <c r="B201" s="20" t="e">
        <f>+(final_results!B201-Raw_Financials!B201)/Raw_Financials!B201</f>
        <v>#DIV/0!</v>
      </c>
      <c r="C201" s="20" t="e">
        <f>+(final_results!C201-Raw_Financials!C201)/Raw_Financials!C201</f>
        <v>#DIV/0!</v>
      </c>
      <c r="D201" s="20" t="e">
        <f>+(final_results!D201-Raw_Financials!D201)/Raw_Financials!D201</f>
        <v>#DIV/0!</v>
      </c>
      <c r="E201" s="20" t="e">
        <f>+(final_results!E201-Raw_Financials!E201)/Raw_Financials!E201</f>
        <v>#DIV/0!</v>
      </c>
      <c r="F201" s="20" t="e">
        <f>+(final_results!F201-Raw_Financials!F201)/Raw_Financials!F201</f>
        <v>#DIV/0!</v>
      </c>
      <c r="G201" s="20" t="e">
        <f>+(final_results!G201-Raw_Financials!G201)/Raw_Financials!G201</f>
        <v>#DIV/0!</v>
      </c>
      <c r="H201" s="20" t="e">
        <f>+(final_results!H201-Raw_Financials!H201)/Raw_Financials!H201</f>
        <v>#DIV/0!</v>
      </c>
      <c r="I201" s="20" t="e">
        <f>+(final_results!I201-Raw_Financials!I201)/Raw_Financials!I201</f>
        <v>#DIV/0!</v>
      </c>
      <c r="J201" s="20" t="e">
        <f>+(final_results!J201-Raw_Financials!J201)/Raw_Financials!J201</f>
        <v>#DIV/0!</v>
      </c>
      <c r="K201" s="20" t="e">
        <f>+(final_results!K201-Raw_Financials!K201)/Raw_Financials!K201</f>
        <v>#DIV/0!</v>
      </c>
    </row>
    <row r="202" spans="1:11">
      <c r="A202" s="5" t="s">
        <v>199</v>
      </c>
      <c r="B202" s="20" t="e">
        <f>+(final_results!B202-Raw_Financials!B202)/Raw_Financials!B202</f>
        <v>#DIV/0!</v>
      </c>
      <c r="C202" s="20" t="e">
        <f>+(final_results!C202-Raw_Financials!C202)/Raw_Financials!C202</f>
        <v>#DIV/0!</v>
      </c>
      <c r="D202" s="20">
        <f>+(final_results!D202-Raw_Financials!D202)/Raw_Financials!D202</f>
        <v>0</v>
      </c>
      <c r="E202" s="20" t="e">
        <f>+(final_results!E202-Raw_Financials!E202)/Raw_Financials!E202</f>
        <v>#DIV/0!</v>
      </c>
      <c r="F202" s="20">
        <f>+(final_results!F202-Raw_Financials!F202)/Raw_Financials!F202</f>
        <v>0</v>
      </c>
      <c r="G202" s="20">
        <f>+(final_results!G202-Raw_Financials!G202)/Raw_Financials!G202</f>
        <v>0</v>
      </c>
      <c r="H202" s="20" t="e">
        <f>+(final_results!H202-Raw_Financials!H202)/Raw_Financials!H202</f>
        <v>#DIV/0!</v>
      </c>
      <c r="I202" s="20" t="e">
        <f>+(final_results!I202-Raw_Financials!I202)/Raw_Financials!I202</f>
        <v>#DIV/0!</v>
      </c>
      <c r="J202" s="20" t="e">
        <f>+(final_results!J202-Raw_Financials!J202)/Raw_Financials!J202</f>
        <v>#DIV/0!</v>
      </c>
      <c r="K202" s="20" t="e">
        <f>+(final_results!K202-Raw_Financials!K202)/Raw_Financials!K202</f>
        <v>#DIV/0!</v>
      </c>
    </row>
    <row r="203" spans="1:11">
      <c r="A203" s="6" t="s">
        <v>200</v>
      </c>
      <c r="B203" s="20" t="e">
        <f>+(final_results!B203-Raw_Financials!B203)/Raw_Financials!B203</f>
        <v>#DIV/0!</v>
      </c>
      <c r="C203" s="20" t="e">
        <f>+(final_results!C203-Raw_Financials!C203)/Raw_Financials!C203</f>
        <v>#DIV/0!</v>
      </c>
      <c r="D203" s="20" t="e">
        <f>+(final_results!D203-Raw_Financials!D203)/Raw_Financials!D203</f>
        <v>#DIV/0!</v>
      </c>
      <c r="E203" s="20" t="e">
        <f>+(final_results!E203-Raw_Financials!E203)/Raw_Financials!E203</f>
        <v>#DIV/0!</v>
      </c>
      <c r="F203" s="20" t="e">
        <f>+(final_results!F203-Raw_Financials!F203)/Raw_Financials!F203</f>
        <v>#DIV/0!</v>
      </c>
      <c r="G203" s="20" t="e">
        <f>+(final_results!G203-Raw_Financials!G203)/Raw_Financials!G203</f>
        <v>#DIV/0!</v>
      </c>
      <c r="H203" s="20" t="e">
        <f>+(final_results!H203-Raw_Financials!H203)/Raw_Financials!H203</f>
        <v>#DIV/0!</v>
      </c>
      <c r="I203" s="20" t="e">
        <f>+(final_results!I203-Raw_Financials!I203)/Raw_Financials!I203</f>
        <v>#DIV/0!</v>
      </c>
      <c r="J203" s="20" t="e">
        <f>+(final_results!J203-Raw_Financials!J203)/Raw_Financials!J203</f>
        <v>#DIV/0!</v>
      </c>
      <c r="K203" s="20" t="e">
        <f>+(final_results!K203-Raw_Financials!K203)/Raw_Financials!K203</f>
        <v>#DIV/0!</v>
      </c>
    </row>
    <row r="204" spans="1:11">
      <c r="A204" s="7" t="s">
        <v>201</v>
      </c>
      <c r="B204" s="20">
        <f>+(final_results!B204-Raw_Financials!B204)/Raw_Financials!B204</f>
        <v>0</v>
      </c>
      <c r="C204" s="20">
        <f>+(final_results!C204-Raw_Financials!C204)/Raw_Financials!C204</f>
        <v>0</v>
      </c>
      <c r="D204" s="20">
        <f>+(final_results!D204-Raw_Financials!D204)/Raw_Financials!D204</f>
        <v>0</v>
      </c>
      <c r="E204" s="20">
        <f>+(final_results!E204-Raw_Financials!E204)/Raw_Financials!E204</f>
        <v>0</v>
      </c>
      <c r="F204" s="20">
        <f>+(final_results!F204-Raw_Financials!F204)/Raw_Financials!F204</f>
        <v>0</v>
      </c>
      <c r="G204" s="20">
        <f>+(final_results!G204-Raw_Financials!G204)/Raw_Financials!G204</f>
        <v>0</v>
      </c>
      <c r="H204" s="20" t="e">
        <f>+(final_results!H204-Raw_Financials!H204)/Raw_Financials!H204</f>
        <v>#DIV/0!</v>
      </c>
      <c r="I204" s="20">
        <f>+(final_results!I204-Raw_Financials!I204)/Raw_Financials!I204</f>
        <v>0</v>
      </c>
      <c r="J204" s="20">
        <f>+(final_results!J204-Raw_Financials!J204)/Raw_Financials!J204</f>
        <v>0</v>
      </c>
      <c r="K204" s="20">
        <f>+(final_results!K204-Raw_Financials!K204)/Raw_Financials!K204</f>
        <v>0</v>
      </c>
    </row>
    <row r="205" spans="1:11">
      <c r="A205" s="6" t="s">
        <v>202</v>
      </c>
      <c r="B205" s="20" t="e">
        <f>+(final_results!B205-Raw_Financials!B205)/Raw_Financials!B205</f>
        <v>#DIV/0!</v>
      </c>
      <c r="C205" s="20" t="e">
        <f>+(final_results!C205-Raw_Financials!C205)/Raw_Financials!C205</f>
        <v>#DIV/0!</v>
      </c>
      <c r="D205" s="20" t="e">
        <f>+(final_results!D205-Raw_Financials!D205)/Raw_Financials!D205</f>
        <v>#DIV/0!</v>
      </c>
      <c r="E205" s="20" t="e">
        <f>+(final_results!E205-Raw_Financials!E205)/Raw_Financials!E205</f>
        <v>#DIV/0!</v>
      </c>
      <c r="F205" s="20" t="e">
        <f>+(final_results!F205-Raw_Financials!F205)/Raw_Financials!F205</f>
        <v>#DIV/0!</v>
      </c>
      <c r="G205" s="20" t="e">
        <f>+(final_results!G205-Raw_Financials!G205)/Raw_Financials!G205</f>
        <v>#DIV/0!</v>
      </c>
      <c r="H205" s="20" t="e">
        <f>+(final_results!H205-Raw_Financials!H205)/Raw_Financials!H205</f>
        <v>#DIV/0!</v>
      </c>
      <c r="I205" s="20" t="e">
        <f>+(final_results!I205-Raw_Financials!I205)/Raw_Financials!I205</f>
        <v>#DIV/0!</v>
      </c>
      <c r="J205" s="20" t="e">
        <f>+(final_results!J205-Raw_Financials!J205)/Raw_Financials!J205</f>
        <v>#DIV/0!</v>
      </c>
      <c r="K205" s="20" t="e">
        <f>+(final_results!K205-Raw_Financials!K205)/Raw_Financials!K205</f>
        <v>#DIV/0!</v>
      </c>
    </row>
    <row r="206" spans="1:11">
      <c r="A206" s="5" t="s">
        <v>203</v>
      </c>
      <c r="B206" s="20" t="e">
        <f>+(final_results!B206-Raw_Financials!B206)/Raw_Financials!B206</f>
        <v>#DIV/0!</v>
      </c>
      <c r="C206" s="20" t="e">
        <f>+(final_results!C206-Raw_Financials!C206)/Raw_Financials!C206</f>
        <v>#DIV/0!</v>
      </c>
      <c r="D206" s="20" t="e">
        <f>+(final_results!D206-Raw_Financials!D206)/Raw_Financials!D206</f>
        <v>#DIV/0!</v>
      </c>
      <c r="E206" s="20" t="e">
        <f>+(final_results!E206-Raw_Financials!E206)/Raw_Financials!E206</f>
        <v>#DIV/0!</v>
      </c>
      <c r="F206" s="20" t="e">
        <f>+(final_results!F206-Raw_Financials!F206)/Raw_Financials!F206</f>
        <v>#DIV/0!</v>
      </c>
      <c r="G206" s="20" t="e">
        <f>+(final_results!G206-Raw_Financials!G206)/Raw_Financials!G206</f>
        <v>#DIV/0!</v>
      </c>
      <c r="H206" s="20" t="e">
        <f>+(final_results!H206-Raw_Financials!H206)/Raw_Financials!H206</f>
        <v>#DIV/0!</v>
      </c>
      <c r="I206" s="20" t="e">
        <f>+(final_results!I206-Raw_Financials!I206)/Raw_Financials!I206</f>
        <v>#DIV/0!</v>
      </c>
      <c r="J206" s="20" t="e">
        <f>+(final_results!J206-Raw_Financials!J206)/Raw_Financials!J206</f>
        <v>#DIV/0!</v>
      </c>
      <c r="K206" s="20" t="e">
        <f>+(final_results!K206-Raw_Financials!K206)/Raw_Financials!K206</f>
        <v>#DIV/0!</v>
      </c>
    </row>
    <row r="207" spans="1:11">
      <c r="A207" s="6" t="s">
        <v>204</v>
      </c>
      <c r="B207" s="20" t="e">
        <f>+(final_results!B207-Raw_Financials!B207)/Raw_Financials!B207</f>
        <v>#DIV/0!</v>
      </c>
      <c r="C207" s="20" t="e">
        <f>+(final_results!C207-Raw_Financials!C207)/Raw_Financials!C207</f>
        <v>#DIV/0!</v>
      </c>
      <c r="D207" s="20" t="e">
        <f>+(final_results!D207-Raw_Financials!D207)/Raw_Financials!D207</f>
        <v>#DIV/0!</v>
      </c>
      <c r="E207" s="20" t="e">
        <f>+(final_results!E207-Raw_Financials!E207)/Raw_Financials!E207</f>
        <v>#DIV/0!</v>
      </c>
      <c r="F207" s="20" t="e">
        <f>+(final_results!F207-Raw_Financials!F207)/Raw_Financials!F207</f>
        <v>#DIV/0!</v>
      </c>
      <c r="G207" s="20" t="e">
        <f>+(final_results!G207-Raw_Financials!G207)/Raw_Financials!G207</f>
        <v>#DIV/0!</v>
      </c>
      <c r="H207" s="20" t="e">
        <f>+(final_results!H207-Raw_Financials!H207)/Raw_Financials!H207</f>
        <v>#DIV/0!</v>
      </c>
      <c r="I207" s="20" t="e">
        <f>+(final_results!I207-Raw_Financials!I207)/Raw_Financials!I207</f>
        <v>#DIV/0!</v>
      </c>
      <c r="J207" s="20" t="e">
        <f>+(final_results!J207-Raw_Financials!J207)/Raw_Financials!J207</f>
        <v>#DIV/0!</v>
      </c>
      <c r="K207" s="20" t="e">
        <f>+(final_results!K207-Raw_Financials!K207)/Raw_Financials!K207</f>
        <v>#DIV/0!</v>
      </c>
    </row>
    <row r="208" spans="1:11">
      <c r="A208" s="5" t="s">
        <v>205</v>
      </c>
      <c r="B208" s="20" t="e">
        <f>+(final_results!B208-Raw_Financials!B208)/Raw_Financials!B208</f>
        <v>#DIV/0!</v>
      </c>
      <c r="C208" s="20">
        <f>+(final_results!C208-Raw_Financials!C208)/Raw_Financials!C208</f>
        <v>0</v>
      </c>
      <c r="D208" s="20">
        <f>+(final_results!D208-Raw_Financials!D208)/Raw_Financials!D208</f>
        <v>0</v>
      </c>
      <c r="E208" s="20">
        <f>+(final_results!E208-Raw_Financials!E208)/Raw_Financials!E208</f>
        <v>0</v>
      </c>
      <c r="F208" s="20">
        <f>+(final_results!F208-Raw_Financials!F208)/Raw_Financials!F208</f>
        <v>1.1307586409257856E-16</v>
      </c>
      <c r="G208" s="20">
        <f>+(final_results!G208-Raw_Financials!G208)/Raw_Financials!G208</f>
        <v>0</v>
      </c>
      <c r="H208" s="20">
        <f>+(final_results!H208-Raw_Financials!H208)/Raw_Financials!H208</f>
        <v>1.1454800244474547E-16</v>
      </c>
      <c r="I208" s="20">
        <f>+(final_results!I208-Raw_Financials!I208)/Raw_Financials!I208</f>
        <v>0</v>
      </c>
      <c r="J208" s="20">
        <f>+(final_results!J208-Raw_Financials!J208)/Raw_Financials!J208</f>
        <v>0</v>
      </c>
      <c r="K208" s="20">
        <f>+(final_results!K208-Raw_Financials!K208)/Raw_Financials!K208</f>
        <v>0</v>
      </c>
    </row>
    <row r="209" spans="1:11">
      <c r="A209" s="6" t="s">
        <v>206</v>
      </c>
      <c r="B209" s="20" t="e">
        <f>+(final_results!B209-Raw_Financials!B209)/Raw_Financials!B209</f>
        <v>#DIV/0!</v>
      </c>
      <c r="C209" s="20" t="e">
        <f>+(final_results!C209-Raw_Financials!C209)/Raw_Financials!C209</f>
        <v>#DIV/0!</v>
      </c>
      <c r="D209" s="20" t="e">
        <f>+(final_results!D209-Raw_Financials!D209)/Raw_Financials!D209</f>
        <v>#DIV/0!</v>
      </c>
      <c r="E209" s="20" t="e">
        <f>+(final_results!E209-Raw_Financials!E209)/Raw_Financials!E209</f>
        <v>#DIV/0!</v>
      </c>
      <c r="F209" s="20" t="e">
        <f>+(final_results!F209-Raw_Financials!F209)/Raw_Financials!F209</f>
        <v>#DIV/0!</v>
      </c>
      <c r="G209" s="20" t="e">
        <f>+(final_results!G209-Raw_Financials!G209)/Raw_Financials!G209</f>
        <v>#DIV/0!</v>
      </c>
      <c r="H209" s="20" t="e">
        <f>+(final_results!H209-Raw_Financials!H209)/Raw_Financials!H209</f>
        <v>#DIV/0!</v>
      </c>
      <c r="I209" s="20" t="e">
        <f>+(final_results!I209-Raw_Financials!I209)/Raw_Financials!I209</f>
        <v>#DIV/0!</v>
      </c>
      <c r="J209" s="20" t="e">
        <f>+(final_results!J209-Raw_Financials!J209)/Raw_Financials!J209</f>
        <v>#DIV/0!</v>
      </c>
      <c r="K209" s="20" t="e">
        <f>+(final_results!K209-Raw_Financials!K209)/Raw_Financials!K209</f>
        <v>#DIV/0!</v>
      </c>
    </row>
    <row r="210" spans="1:11">
      <c r="A210" s="5" t="s">
        <v>207</v>
      </c>
      <c r="B210" s="20" t="e">
        <f>+(final_results!B210-Raw_Financials!B210)/Raw_Financials!B210</f>
        <v>#DIV/0!</v>
      </c>
      <c r="C210" s="20" t="e">
        <f>+(final_results!C210-Raw_Financials!C210)/Raw_Financials!C210</f>
        <v>#DIV/0!</v>
      </c>
      <c r="D210" s="20" t="e">
        <f>+(final_results!D210-Raw_Financials!D210)/Raw_Financials!D210</f>
        <v>#DIV/0!</v>
      </c>
      <c r="E210" s="20" t="e">
        <f>+(final_results!E210-Raw_Financials!E210)/Raw_Financials!E210</f>
        <v>#DIV/0!</v>
      </c>
      <c r="F210" s="20" t="e">
        <f>+(final_results!F210-Raw_Financials!F210)/Raw_Financials!F210</f>
        <v>#DIV/0!</v>
      </c>
      <c r="G210" s="20" t="e">
        <f>+(final_results!G210-Raw_Financials!G210)/Raw_Financials!G210</f>
        <v>#DIV/0!</v>
      </c>
      <c r="H210" s="20" t="e">
        <f>+(final_results!H210-Raw_Financials!H210)/Raw_Financials!H210</f>
        <v>#DIV/0!</v>
      </c>
      <c r="I210" s="20" t="e">
        <f>+(final_results!I210-Raw_Financials!I210)/Raw_Financials!I210</f>
        <v>#DIV/0!</v>
      </c>
      <c r="J210" s="20" t="e">
        <f>+(final_results!J210-Raw_Financials!J210)/Raw_Financials!J210</f>
        <v>#DIV/0!</v>
      </c>
      <c r="K210" s="20" t="e">
        <f>+(final_results!K210-Raw_Financials!K210)/Raw_Financials!K210</f>
        <v>#DIV/0!</v>
      </c>
    </row>
    <row r="211" spans="1:11">
      <c r="A211" s="6" t="s">
        <v>208</v>
      </c>
      <c r="B211" s="20">
        <f>+(final_results!B211-Raw_Financials!B211)/Raw_Financials!B211</f>
        <v>0</v>
      </c>
      <c r="C211" s="20">
        <f>+(final_results!C211-Raw_Financials!C211)/Raw_Financials!C211</f>
        <v>0</v>
      </c>
      <c r="D211" s="20">
        <f>+(final_results!D211-Raw_Financials!D211)/Raw_Financials!D211</f>
        <v>0</v>
      </c>
      <c r="E211" s="20">
        <f>+(final_results!E211-Raw_Financials!E211)/Raw_Financials!E211</f>
        <v>0</v>
      </c>
      <c r="F211" s="20">
        <f>+(final_results!F211-Raw_Financials!F211)/Raw_Financials!F211</f>
        <v>0</v>
      </c>
      <c r="G211" s="20">
        <f>+(final_results!G211-Raw_Financials!G211)/Raw_Financials!G211</f>
        <v>0</v>
      </c>
      <c r="H211" s="20">
        <f>+(final_results!H211-Raw_Financials!H211)/Raw_Financials!H211</f>
        <v>1.1446282232926289E-16</v>
      </c>
      <c r="I211" s="20">
        <f>+(final_results!I211-Raw_Financials!I211)/Raw_Financials!I211</f>
        <v>0</v>
      </c>
      <c r="J211" s="20">
        <f>+(final_results!J211-Raw_Financials!J211)/Raw_Financials!J211</f>
        <v>0</v>
      </c>
      <c r="K211" s="20">
        <f>+(final_results!K211-Raw_Financials!K211)/Raw_Financials!K211</f>
        <v>0</v>
      </c>
    </row>
    <row r="212" spans="1:11">
      <c r="A212" s="5" t="s">
        <v>209</v>
      </c>
      <c r="B212" s="20" t="e">
        <f>+(final_results!B212-Raw_Financials!B212)/Raw_Financials!B212</f>
        <v>#DIV/0!</v>
      </c>
      <c r="C212" s="20" t="e">
        <f>+(final_results!C212-Raw_Financials!C212)/Raw_Financials!C212</f>
        <v>#DIV/0!</v>
      </c>
      <c r="D212" s="20" t="e">
        <f>+(final_results!D212-Raw_Financials!D212)/Raw_Financials!D212</f>
        <v>#DIV/0!</v>
      </c>
      <c r="E212" s="20" t="e">
        <f>+(final_results!E212-Raw_Financials!E212)/Raw_Financials!E212</f>
        <v>#DIV/0!</v>
      </c>
      <c r="F212" s="20" t="e">
        <f>+(final_results!F212-Raw_Financials!F212)/Raw_Financials!F212</f>
        <v>#DIV/0!</v>
      </c>
      <c r="G212" s="20" t="e">
        <f>+(final_results!G212-Raw_Financials!G212)/Raw_Financials!G212</f>
        <v>#DIV/0!</v>
      </c>
      <c r="H212" s="20" t="e">
        <f>+(final_results!H212-Raw_Financials!H212)/Raw_Financials!H212</f>
        <v>#DIV/0!</v>
      </c>
      <c r="I212" s="20" t="e">
        <f>+(final_results!I212-Raw_Financials!I212)/Raw_Financials!I212</f>
        <v>#DIV/0!</v>
      </c>
      <c r="J212" s="20" t="e">
        <f>+(final_results!J212-Raw_Financials!J212)/Raw_Financials!J212</f>
        <v>#DIV/0!</v>
      </c>
      <c r="K212" s="20" t="e">
        <f>+(final_results!K212-Raw_Financials!K212)/Raw_Financials!K212</f>
        <v>#DIV/0!</v>
      </c>
    </row>
    <row r="213" spans="1:11">
      <c r="A213" s="6" t="s">
        <v>210</v>
      </c>
      <c r="B213" s="20" t="e">
        <f>+(final_results!B213-Raw_Financials!B213)/Raw_Financials!B213</f>
        <v>#DIV/0!</v>
      </c>
      <c r="C213" s="20" t="e">
        <f>+(final_results!C213-Raw_Financials!C213)/Raw_Financials!C213</f>
        <v>#DIV/0!</v>
      </c>
      <c r="D213" s="20" t="e">
        <f>+(final_results!D213-Raw_Financials!D213)/Raw_Financials!D213</f>
        <v>#DIV/0!</v>
      </c>
      <c r="E213" s="20" t="e">
        <f>+(final_results!E213-Raw_Financials!E213)/Raw_Financials!E213</f>
        <v>#DIV/0!</v>
      </c>
      <c r="F213" s="20" t="e">
        <f>+(final_results!F213-Raw_Financials!F213)/Raw_Financials!F213</f>
        <v>#DIV/0!</v>
      </c>
      <c r="G213" s="20" t="e">
        <f>+(final_results!G213-Raw_Financials!G213)/Raw_Financials!G213</f>
        <v>#DIV/0!</v>
      </c>
      <c r="H213" s="20" t="e">
        <f>+(final_results!H213-Raw_Financials!H213)/Raw_Financials!H213</f>
        <v>#DIV/0!</v>
      </c>
      <c r="I213" s="20" t="e">
        <f>+(final_results!I213-Raw_Financials!I213)/Raw_Financials!I213</f>
        <v>#DIV/0!</v>
      </c>
      <c r="J213" s="20" t="e">
        <f>+(final_results!J213-Raw_Financials!J213)/Raw_Financials!J213</f>
        <v>#DIV/0!</v>
      </c>
      <c r="K213" s="20" t="e">
        <f>+(final_results!K213-Raw_Financials!K213)/Raw_Financials!K213</f>
        <v>#DIV/0!</v>
      </c>
    </row>
    <row r="214" spans="1:11">
      <c r="A214" s="7" t="s">
        <v>211</v>
      </c>
      <c r="B214" s="20">
        <f>+(final_results!B214-Raw_Financials!B214)/Raw_Financials!B214</f>
        <v>0</v>
      </c>
      <c r="C214" s="20">
        <f>+(final_results!C214-Raw_Financials!C214)/Raw_Financials!C214</f>
        <v>0</v>
      </c>
      <c r="D214" s="20">
        <f>+(final_results!D214-Raw_Financials!D214)/Raw_Financials!D214</f>
        <v>0</v>
      </c>
      <c r="E214" s="20">
        <f>+(final_results!E214-Raw_Financials!E214)/Raw_Financials!E214</f>
        <v>0</v>
      </c>
      <c r="F214" s="20">
        <f>+(final_results!F214-Raw_Financials!F214)/Raw_Financials!F214</f>
        <v>0</v>
      </c>
      <c r="G214" s="20">
        <f>+(final_results!G214-Raw_Financials!G214)/Raw_Financials!G214</f>
        <v>0</v>
      </c>
      <c r="H214" s="20">
        <f>+(final_results!H214-Raw_Financials!H214)/Raw_Financials!H214</f>
        <v>0</v>
      </c>
      <c r="I214" s="20">
        <f>+(final_results!I214-Raw_Financials!I214)/Raw_Financials!I214</f>
        <v>0</v>
      </c>
      <c r="J214" s="20">
        <f>+(final_results!J214-Raw_Financials!J214)/Raw_Financials!J214</f>
        <v>0</v>
      </c>
      <c r="K214" s="20">
        <f>+(final_results!K214-Raw_Financials!K214)/Raw_Financials!K214</f>
        <v>0</v>
      </c>
    </row>
    <row r="215" spans="1:11">
      <c r="A215" s="6" t="s">
        <v>212</v>
      </c>
      <c r="B215" s="20" t="e">
        <f>+(final_results!B215-Raw_Financials!B215)/Raw_Financials!B215</f>
        <v>#DIV/0!</v>
      </c>
      <c r="C215" s="20" t="e">
        <f>+(final_results!C215-Raw_Financials!C215)/Raw_Financials!C215</f>
        <v>#DIV/0!</v>
      </c>
      <c r="D215" s="20" t="e">
        <f>+(final_results!D215-Raw_Financials!D215)/Raw_Financials!D215</f>
        <v>#DIV/0!</v>
      </c>
      <c r="E215" s="20" t="e">
        <f>+(final_results!E215-Raw_Financials!E215)/Raw_Financials!E215</f>
        <v>#DIV/0!</v>
      </c>
      <c r="F215" s="20" t="e">
        <f>+(final_results!F215-Raw_Financials!F215)/Raw_Financials!F215</f>
        <v>#DIV/0!</v>
      </c>
      <c r="G215" s="20" t="e">
        <f>+(final_results!G215-Raw_Financials!G215)/Raw_Financials!G215</f>
        <v>#DIV/0!</v>
      </c>
      <c r="H215" s="20" t="e">
        <f>+(final_results!H215-Raw_Financials!H215)/Raw_Financials!H215</f>
        <v>#DIV/0!</v>
      </c>
      <c r="I215" s="20" t="e">
        <f>+(final_results!I215-Raw_Financials!I215)/Raw_Financials!I215</f>
        <v>#DIV/0!</v>
      </c>
      <c r="J215" s="20" t="e">
        <f>+(final_results!J215-Raw_Financials!J215)/Raw_Financials!J215</f>
        <v>#DIV/0!</v>
      </c>
      <c r="K215" s="20" t="e">
        <f>+(final_results!K215-Raw_Financials!K215)/Raw_Financials!K215</f>
        <v>#DIV/0!</v>
      </c>
    </row>
    <row r="216" spans="1:11">
      <c r="A216" s="5" t="s">
        <v>213</v>
      </c>
      <c r="B216" s="20" t="e">
        <f>+(final_results!B216-Raw_Financials!B216)/Raw_Financials!B216</f>
        <v>#DIV/0!</v>
      </c>
      <c r="C216" s="20" t="e">
        <f>+(final_results!C216-Raw_Financials!C216)/Raw_Financials!C216</f>
        <v>#DIV/0!</v>
      </c>
      <c r="D216" s="20" t="e">
        <f>+(final_results!D216-Raw_Financials!D216)/Raw_Financials!D216</f>
        <v>#DIV/0!</v>
      </c>
      <c r="E216" s="20" t="e">
        <f>+(final_results!E216-Raw_Financials!E216)/Raw_Financials!E216</f>
        <v>#DIV/0!</v>
      </c>
      <c r="F216" s="20" t="e">
        <f>+(final_results!F216-Raw_Financials!F216)/Raw_Financials!F216</f>
        <v>#DIV/0!</v>
      </c>
      <c r="G216" s="20" t="e">
        <f>+(final_results!G216-Raw_Financials!G216)/Raw_Financials!G216</f>
        <v>#DIV/0!</v>
      </c>
      <c r="H216" s="20" t="e">
        <f>+(final_results!H216-Raw_Financials!H216)/Raw_Financials!H216</f>
        <v>#DIV/0!</v>
      </c>
      <c r="I216" s="20" t="e">
        <f>+(final_results!I216-Raw_Financials!I216)/Raw_Financials!I216</f>
        <v>#DIV/0!</v>
      </c>
      <c r="J216" s="20" t="e">
        <f>+(final_results!J216-Raw_Financials!J216)/Raw_Financials!J216</f>
        <v>#DIV/0!</v>
      </c>
      <c r="K216" s="20" t="e">
        <f>+(final_results!K216-Raw_Financials!K216)/Raw_Financials!K216</f>
        <v>#DIV/0!</v>
      </c>
    </row>
    <row r="217" spans="1:11">
      <c r="A217" s="7" t="s">
        <v>214</v>
      </c>
      <c r="B217" s="20">
        <f>+(final_results!B217-Raw_Financials!B217)/Raw_Financials!B217</f>
        <v>-0.62937421872713428</v>
      </c>
      <c r="C217" s="20">
        <f>+(final_results!C217-Raw_Financials!C217)/Raw_Financials!C217</f>
        <v>0</v>
      </c>
      <c r="D217" s="20">
        <f>+(final_results!D217-Raw_Financials!D217)/Raw_Financials!D217</f>
        <v>0</v>
      </c>
      <c r="E217" s="20">
        <f>+(final_results!E217-Raw_Financials!E217)/Raw_Financials!E217</f>
        <v>0</v>
      </c>
      <c r="F217" s="20">
        <f>+(final_results!F217-Raw_Financials!F217)/Raw_Financials!F217</f>
        <v>1.1944943690628627E-16</v>
      </c>
      <c r="G217" s="20">
        <f>+(final_results!G217-Raw_Financials!G217)/Raw_Financials!G217</f>
        <v>0</v>
      </c>
      <c r="H217" s="20">
        <f>+(final_results!H217-Raw_Financials!H217)/Raw_Financials!H217</f>
        <v>0</v>
      </c>
      <c r="I217" s="20">
        <f>+(final_results!I217-Raw_Financials!I217)/Raw_Financials!I217</f>
        <v>0</v>
      </c>
      <c r="J217" s="20">
        <f>+(final_results!J217-Raw_Financials!J217)/Raw_Financials!J217</f>
        <v>1.111729090483795E-16</v>
      </c>
      <c r="K217" s="20">
        <f>+(final_results!K217-Raw_Financials!K217)/Raw_Financials!K217</f>
        <v>0</v>
      </c>
    </row>
    <row r="218" spans="1:11">
      <c r="A218" s="5" t="s">
        <v>215</v>
      </c>
      <c r="B218" s="20" t="e">
        <f>+(final_results!B218-Raw_Financials!B218)/Raw_Financials!B218</f>
        <v>#DIV/0!</v>
      </c>
      <c r="C218" s="20" t="e">
        <f>+(final_results!C218-Raw_Financials!C218)/Raw_Financials!C218</f>
        <v>#DIV/0!</v>
      </c>
      <c r="D218" s="20" t="e">
        <f>+(final_results!D218-Raw_Financials!D218)/Raw_Financials!D218</f>
        <v>#DIV/0!</v>
      </c>
      <c r="E218" s="20" t="e">
        <f>+(final_results!E218-Raw_Financials!E218)/Raw_Financials!E218</f>
        <v>#DIV/0!</v>
      </c>
      <c r="F218" s="20" t="e">
        <f>+(final_results!F218-Raw_Financials!F218)/Raw_Financials!F218</f>
        <v>#DIV/0!</v>
      </c>
      <c r="G218" s="20" t="e">
        <f>+(final_results!G218-Raw_Financials!G218)/Raw_Financials!G218</f>
        <v>#DIV/0!</v>
      </c>
      <c r="H218" s="20" t="e">
        <f>+(final_results!H218-Raw_Financials!H218)/Raw_Financials!H218</f>
        <v>#DIV/0!</v>
      </c>
      <c r="I218" s="20" t="e">
        <f>+(final_results!I218-Raw_Financials!I218)/Raw_Financials!I218</f>
        <v>#DIV/0!</v>
      </c>
      <c r="J218" s="20" t="e">
        <f>+(final_results!J218-Raw_Financials!J218)/Raw_Financials!J218</f>
        <v>#DIV/0!</v>
      </c>
      <c r="K218" s="20">
        <f>+(final_results!K218-Raw_Financials!K218)/Raw_Financials!K218</f>
        <v>-1</v>
      </c>
    </row>
    <row r="219" spans="1:11">
      <c r="A219" s="6" t="s">
        <v>216</v>
      </c>
      <c r="B219" s="20" t="e">
        <f>+(final_results!B219-Raw_Financials!B219)/Raw_Financials!B219</f>
        <v>#DIV/0!</v>
      </c>
      <c r="C219" s="20" t="e">
        <f>+(final_results!C219-Raw_Financials!C219)/Raw_Financials!C219</f>
        <v>#DIV/0!</v>
      </c>
      <c r="D219" s="20" t="e">
        <f>+(final_results!D219-Raw_Financials!D219)/Raw_Financials!D219</f>
        <v>#DIV/0!</v>
      </c>
      <c r="E219" s="20" t="e">
        <f>+(final_results!E219-Raw_Financials!E219)/Raw_Financials!E219</f>
        <v>#DIV/0!</v>
      </c>
      <c r="F219" s="20" t="e">
        <f>+(final_results!F219-Raw_Financials!F219)/Raw_Financials!F219</f>
        <v>#DIV/0!</v>
      </c>
      <c r="G219" s="20" t="e">
        <f>+(final_results!G219-Raw_Financials!G219)/Raw_Financials!G219</f>
        <v>#DIV/0!</v>
      </c>
      <c r="H219" s="20" t="e">
        <f>+(final_results!H219-Raw_Financials!H219)/Raw_Financials!H219</f>
        <v>#DIV/0!</v>
      </c>
      <c r="I219" s="20" t="e">
        <f>+(final_results!I219-Raw_Financials!I219)/Raw_Financials!I219</f>
        <v>#DIV/0!</v>
      </c>
      <c r="J219" s="20" t="e">
        <f>+(final_results!J219-Raw_Financials!J219)/Raw_Financials!J219</f>
        <v>#DIV/0!</v>
      </c>
      <c r="K219" s="20" t="e">
        <f>+(final_results!K219-Raw_Financials!K219)/Raw_Financials!K219</f>
        <v>#DIV/0!</v>
      </c>
    </row>
    <row r="220" spans="1:11">
      <c r="A220" s="5" t="s">
        <v>217</v>
      </c>
      <c r="B220" s="20" t="e">
        <f>+(final_results!B220-Raw_Financials!B220)/Raw_Financials!B220</f>
        <v>#DIV/0!</v>
      </c>
      <c r="C220" s="20" t="e">
        <f>+(final_results!C220-Raw_Financials!C220)/Raw_Financials!C220</f>
        <v>#DIV/0!</v>
      </c>
      <c r="D220" s="20" t="e">
        <f>+(final_results!D220-Raw_Financials!D220)/Raw_Financials!D220</f>
        <v>#DIV/0!</v>
      </c>
      <c r="E220" s="20" t="e">
        <f>+(final_results!E220-Raw_Financials!E220)/Raw_Financials!E220</f>
        <v>#DIV/0!</v>
      </c>
      <c r="F220" s="20" t="e">
        <f>+(final_results!F220-Raw_Financials!F220)/Raw_Financials!F220</f>
        <v>#DIV/0!</v>
      </c>
      <c r="G220" s="20" t="e">
        <f>+(final_results!G220-Raw_Financials!G220)/Raw_Financials!G220</f>
        <v>#DIV/0!</v>
      </c>
      <c r="H220" s="20" t="e">
        <f>+(final_results!H220-Raw_Financials!H220)/Raw_Financials!H220</f>
        <v>#DIV/0!</v>
      </c>
      <c r="I220" s="20" t="e">
        <f>+(final_results!I220-Raw_Financials!I220)/Raw_Financials!I220</f>
        <v>#DIV/0!</v>
      </c>
      <c r="J220" s="20" t="e">
        <f>+(final_results!J220-Raw_Financials!J220)/Raw_Financials!J220</f>
        <v>#DIV/0!</v>
      </c>
      <c r="K220" s="20" t="e">
        <f>+(final_results!K220-Raw_Financials!K220)/Raw_Financials!K220</f>
        <v>#DIV/0!</v>
      </c>
    </row>
    <row r="221" spans="1:11">
      <c r="A221" s="7" t="s">
        <v>218</v>
      </c>
      <c r="B221" s="20" t="e">
        <f>+(final_results!B221-Raw_Financials!B221)/Raw_Financials!B221</f>
        <v>#DIV/0!</v>
      </c>
      <c r="C221" s="20" t="e">
        <f>+(final_results!C221-Raw_Financials!C221)/Raw_Financials!C221</f>
        <v>#DIV/0!</v>
      </c>
      <c r="D221" s="20" t="e">
        <f>+(final_results!D221-Raw_Financials!D221)/Raw_Financials!D221</f>
        <v>#DIV/0!</v>
      </c>
      <c r="E221" s="20" t="e">
        <f>+(final_results!E221-Raw_Financials!E221)/Raw_Financials!E221</f>
        <v>#DIV/0!</v>
      </c>
      <c r="F221" s="20" t="e">
        <f>+(final_results!F221-Raw_Financials!F221)/Raw_Financials!F221</f>
        <v>#DIV/0!</v>
      </c>
      <c r="G221" s="20" t="e">
        <f>+(final_results!G221-Raw_Financials!G221)/Raw_Financials!G221</f>
        <v>#DIV/0!</v>
      </c>
      <c r="H221" s="20" t="e">
        <f>+(final_results!H221-Raw_Financials!H221)/Raw_Financials!H221</f>
        <v>#DIV/0!</v>
      </c>
      <c r="I221" s="20" t="e">
        <f>+(final_results!I221-Raw_Financials!I221)/Raw_Financials!I221</f>
        <v>#DIV/0!</v>
      </c>
      <c r="J221" s="20" t="e">
        <f>+(final_results!J221-Raw_Financials!J221)/Raw_Financials!J221</f>
        <v>#DIV/0!</v>
      </c>
      <c r="K221" s="20">
        <f>+(final_results!K221-Raw_Financials!K221)/Raw_Financials!K221</f>
        <v>-1</v>
      </c>
    </row>
    <row r="222" spans="1:11">
      <c r="A222" s="7" t="s">
        <v>219</v>
      </c>
      <c r="B222" s="20">
        <f>+(final_results!B222-Raw_Financials!B222)/Raw_Financials!B222</f>
        <v>-0.62937421872713428</v>
      </c>
      <c r="C222" s="20">
        <f>+(final_results!C222-Raw_Financials!C222)/Raw_Financials!C222</f>
        <v>0</v>
      </c>
      <c r="D222" s="20">
        <f>+(final_results!D222-Raw_Financials!D222)/Raw_Financials!D222</f>
        <v>0</v>
      </c>
      <c r="E222" s="20">
        <f>+(final_results!E222-Raw_Financials!E222)/Raw_Financials!E222</f>
        <v>0</v>
      </c>
      <c r="F222" s="20">
        <f>+(final_results!F222-Raw_Financials!F222)/Raw_Financials!F222</f>
        <v>1.1944943690628627E-16</v>
      </c>
      <c r="G222" s="20">
        <f>+(final_results!G222-Raw_Financials!G222)/Raw_Financials!G222</f>
        <v>0</v>
      </c>
      <c r="H222" s="20">
        <f>+(final_results!H222-Raw_Financials!H222)/Raw_Financials!H222</f>
        <v>0</v>
      </c>
      <c r="I222" s="20">
        <f>+(final_results!I222-Raw_Financials!I222)/Raw_Financials!I222</f>
        <v>0</v>
      </c>
      <c r="J222" s="20">
        <f>+(final_results!J222-Raw_Financials!J222)/Raw_Financials!J222</f>
        <v>1.111729090483795E-16</v>
      </c>
      <c r="K222" s="20">
        <f>+(final_results!K222-Raw_Financials!K222)/Raw_Financials!K222</f>
        <v>0</v>
      </c>
    </row>
    <row r="223" spans="1:11">
      <c r="A223" s="6" t="s">
        <v>220</v>
      </c>
      <c r="B223" s="20" t="e">
        <f>+(final_results!B223-Raw_Financials!B223)/Raw_Financials!B223</f>
        <v>#DIV/0!</v>
      </c>
      <c r="C223" s="20" t="e">
        <f>+(final_results!C223-Raw_Financials!C223)/Raw_Financials!C223</f>
        <v>#DIV/0!</v>
      </c>
      <c r="D223" s="20" t="e">
        <f>+(final_results!D223-Raw_Financials!D223)/Raw_Financials!D223</f>
        <v>#DIV/0!</v>
      </c>
      <c r="E223" s="20" t="e">
        <f>+(final_results!E223-Raw_Financials!E223)/Raw_Financials!E223</f>
        <v>#DIV/0!</v>
      </c>
      <c r="F223" s="20" t="e">
        <f>+(final_results!F223-Raw_Financials!F223)/Raw_Financials!F223</f>
        <v>#DIV/0!</v>
      </c>
      <c r="G223" s="20" t="e">
        <f>+(final_results!G223-Raw_Financials!G223)/Raw_Financials!G223</f>
        <v>#DIV/0!</v>
      </c>
      <c r="H223" s="20" t="e">
        <f>+(final_results!H223-Raw_Financials!H223)/Raw_Financials!H223</f>
        <v>#DIV/0!</v>
      </c>
      <c r="I223" s="20" t="e">
        <f>+(final_results!I223-Raw_Financials!I223)/Raw_Financials!I223</f>
        <v>#DIV/0!</v>
      </c>
      <c r="J223" s="20" t="e">
        <f>+(final_results!J223-Raw_Financials!J223)/Raw_Financials!J223</f>
        <v>#DIV/0!</v>
      </c>
      <c r="K223" s="20" t="e">
        <f>+(final_results!K223-Raw_Financials!K223)/Raw_Financials!K223</f>
        <v>#DIV/0!</v>
      </c>
    </row>
    <row r="224" spans="1:11">
      <c r="A224" s="5" t="s">
        <v>221</v>
      </c>
      <c r="B224" s="20" t="e">
        <f>+(final_results!B224-Raw_Financials!B224)/Raw_Financials!B224</f>
        <v>#DIV/0!</v>
      </c>
      <c r="C224" s="20" t="e">
        <f>+(final_results!C224-Raw_Financials!C224)/Raw_Financials!C224</f>
        <v>#DIV/0!</v>
      </c>
      <c r="D224" s="20" t="e">
        <f>+(final_results!D224-Raw_Financials!D224)/Raw_Financials!D224</f>
        <v>#DIV/0!</v>
      </c>
      <c r="E224" s="20" t="e">
        <f>+(final_results!E224-Raw_Financials!E224)/Raw_Financials!E224</f>
        <v>#DIV/0!</v>
      </c>
      <c r="F224" s="20" t="e">
        <f>+(final_results!F224-Raw_Financials!F224)/Raw_Financials!F224</f>
        <v>#DIV/0!</v>
      </c>
      <c r="G224" s="20" t="e">
        <f>+(final_results!G224-Raw_Financials!G224)/Raw_Financials!G224</f>
        <v>#DIV/0!</v>
      </c>
      <c r="H224" s="20" t="e">
        <f>+(final_results!H224-Raw_Financials!H224)/Raw_Financials!H224</f>
        <v>#DIV/0!</v>
      </c>
      <c r="I224" s="20" t="e">
        <f>+(final_results!I224-Raw_Financials!I224)/Raw_Financials!I224</f>
        <v>#DIV/0!</v>
      </c>
      <c r="J224" s="20" t="e">
        <f>+(final_results!J224-Raw_Financials!J224)/Raw_Financials!J224</f>
        <v>#DIV/0!</v>
      </c>
      <c r="K224" s="20" t="e">
        <f>+(final_results!K224-Raw_Financials!K224)/Raw_Financials!K224</f>
        <v>#DIV/0!</v>
      </c>
    </row>
    <row r="225" spans="1:11">
      <c r="A225" s="6" t="s">
        <v>222</v>
      </c>
      <c r="B225" s="20" t="e">
        <f>+(final_results!B225-Raw_Financials!B225)/Raw_Financials!B225</f>
        <v>#DIV/0!</v>
      </c>
      <c r="C225" s="20" t="e">
        <f>+(final_results!C225-Raw_Financials!C225)/Raw_Financials!C225</f>
        <v>#DIV/0!</v>
      </c>
      <c r="D225" s="20" t="e">
        <f>+(final_results!D225-Raw_Financials!D225)/Raw_Financials!D225</f>
        <v>#DIV/0!</v>
      </c>
      <c r="E225" s="20" t="e">
        <f>+(final_results!E225-Raw_Financials!E225)/Raw_Financials!E225</f>
        <v>#DIV/0!</v>
      </c>
      <c r="F225" s="20" t="e">
        <f>+(final_results!F225-Raw_Financials!F225)/Raw_Financials!F225</f>
        <v>#DIV/0!</v>
      </c>
      <c r="G225" s="20" t="e">
        <f>+(final_results!G225-Raw_Financials!G225)/Raw_Financials!G225</f>
        <v>#DIV/0!</v>
      </c>
      <c r="H225" s="20" t="e">
        <f>+(final_results!H225-Raw_Financials!H225)/Raw_Financials!H225</f>
        <v>#DIV/0!</v>
      </c>
      <c r="I225" s="20" t="e">
        <f>+(final_results!I225-Raw_Financials!I225)/Raw_Financials!I225</f>
        <v>#DIV/0!</v>
      </c>
      <c r="J225" s="20" t="e">
        <f>+(final_results!J225-Raw_Financials!J225)/Raw_Financials!J225</f>
        <v>#DIV/0!</v>
      </c>
      <c r="K225" s="20" t="e">
        <f>+(final_results!K225-Raw_Financials!K225)/Raw_Financials!K225</f>
        <v>#DIV/0!</v>
      </c>
    </row>
  </sheetData>
  <conditionalFormatting sqref="B3:K225">
    <cfRule type="cellIs" dxfId="3" priority="1" operator="lessThan">
      <formula>0</formula>
    </cfRule>
    <cfRule type="cellIs" dxfId="2" priority="2" operator="greaterThan">
      <formula>0</formula>
    </cfRule>
    <cfRule type="cellIs" dxfId="1" priority="3" operator="greaterThan">
      <formula>0</formula>
    </cfRule>
  </conditionalFormatting>
  <pageMargins left="0.7" right="0.7" top="0.75" bottom="0.75" header="0.3" footer="0.3"/>
  <ignoredErrors>
    <ignoredError sqref="B3:K225" evalError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49CF6-B9F8-7644-92BD-40393E8D31FA}">
  <dimension ref="A1:N225"/>
  <sheetViews>
    <sheetView workbookViewId="0">
      <selection activeCell="L39" sqref="L39"/>
    </sheetView>
  </sheetViews>
  <sheetFormatPr baseColWidth="10" defaultRowHeight="13"/>
  <cols>
    <col min="1" max="1" width="48.5" bestFit="1" customWidth="1"/>
    <col min="2" max="11" width="16.1640625" bestFit="1" customWidth="1"/>
    <col min="13" max="13" width="11.1640625" bestFit="1" customWidth="1"/>
    <col min="14" max="14" width="22.6640625" bestFit="1" customWidth="1"/>
  </cols>
  <sheetData>
    <row r="1" spans="1:14">
      <c r="B1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</row>
    <row r="2" spans="1:14">
      <c r="A2" s="1" t="s">
        <v>0</v>
      </c>
      <c r="B2" s="2">
        <v>12</v>
      </c>
      <c r="C2" s="2">
        <v>12</v>
      </c>
      <c r="D2" s="2">
        <v>12</v>
      </c>
      <c r="E2" s="2">
        <v>12</v>
      </c>
      <c r="F2" s="2">
        <v>12</v>
      </c>
      <c r="G2" s="2">
        <v>12</v>
      </c>
      <c r="H2" s="2">
        <v>12</v>
      </c>
      <c r="I2" s="2">
        <v>12</v>
      </c>
      <c r="J2" s="2">
        <v>12</v>
      </c>
      <c r="K2" s="2">
        <v>12</v>
      </c>
    </row>
    <row r="3" spans="1:14">
      <c r="A3" s="3" t="s">
        <v>1</v>
      </c>
      <c r="B3" s="5">
        <f>+final_results!B3-Raw_Financials!B3</f>
        <v>0</v>
      </c>
      <c r="C3" s="5">
        <f>+final_results!C3-Raw_Financials!C3</f>
        <v>0</v>
      </c>
      <c r="D3" s="5">
        <f>+final_results!D3-Raw_Financials!D3</f>
        <v>0</v>
      </c>
      <c r="E3" s="5">
        <f>+final_results!E3-Raw_Financials!E3</f>
        <v>0</v>
      </c>
      <c r="F3" s="5">
        <f>+final_results!F3-Raw_Financials!F3</f>
        <v>0</v>
      </c>
      <c r="G3" s="5">
        <f>+final_results!G3-Raw_Financials!G3</f>
        <v>0</v>
      </c>
      <c r="H3" s="5">
        <f>+final_results!H3-Raw_Financials!H3</f>
        <v>0</v>
      </c>
      <c r="I3" s="5">
        <f>+final_results!I3-Raw_Financials!I3</f>
        <v>0</v>
      </c>
      <c r="J3" s="5">
        <f>+final_results!J3-Raw_Financials!J3</f>
        <v>0</v>
      </c>
      <c r="K3" s="5">
        <f>+final_results!K3-Raw_Financials!K3</f>
        <v>0</v>
      </c>
      <c r="M3" s="5">
        <f>+SUM(Raw_Financials!B3:K225)</f>
        <v>801163041.04300117</v>
      </c>
      <c r="N3" t="s">
        <v>241</v>
      </c>
    </row>
    <row r="4" spans="1:14">
      <c r="A4" s="3" t="s">
        <v>2</v>
      </c>
      <c r="B4" s="5">
        <f>+final_results!B4-Raw_Financials!B4</f>
        <v>0</v>
      </c>
      <c r="C4" s="5">
        <f>+final_results!C4-Raw_Financials!C4</f>
        <v>0</v>
      </c>
      <c r="D4" s="5">
        <f>+final_results!D4-Raw_Financials!D4</f>
        <v>0</v>
      </c>
      <c r="E4" s="5">
        <f>+final_results!E4-Raw_Financials!E4</f>
        <v>0</v>
      </c>
      <c r="F4" s="5">
        <f>+final_results!F4-Raw_Financials!F4</f>
        <v>0</v>
      </c>
      <c r="G4" s="5">
        <f>+final_results!G4-Raw_Financials!G4</f>
        <v>0</v>
      </c>
      <c r="H4" s="5">
        <f>+final_results!H4-Raw_Financials!H4</f>
        <v>0</v>
      </c>
      <c r="I4" s="5">
        <f>+final_results!I4-Raw_Financials!I4</f>
        <v>0</v>
      </c>
      <c r="J4" s="5">
        <f>+final_results!J4-Raw_Financials!J4</f>
        <v>0</v>
      </c>
      <c r="K4" s="5">
        <f>+final_results!K4-Raw_Financials!K4</f>
        <v>0</v>
      </c>
      <c r="M4" s="5">
        <f>+SUM(B3:K225)</f>
        <v>-30544087.461311646</v>
      </c>
      <c r="N4" t="s">
        <v>240</v>
      </c>
    </row>
    <row r="5" spans="1:14">
      <c r="A5" s="3" t="s">
        <v>3</v>
      </c>
      <c r="B5" s="5">
        <f>+final_results!B5-Raw_Financials!B5</f>
        <v>0</v>
      </c>
      <c r="C5" s="5">
        <f>+final_results!C5-Raw_Financials!C5</f>
        <v>0</v>
      </c>
      <c r="D5" s="5">
        <f>+final_results!D5-Raw_Financials!D5</f>
        <v>0</v>
      </c>
      <c r="E5" s="5">
        <f>+final_results!E5-Raw_Financials!E5</f>
        <v>0</v>
      </c>
      <c r="F5" s="5">
        <f>+final_results!F5-Raw_Financials!F5</f>
        <v>0</v>
      </c>
      <c r="G5" s="5">
        <f>+final_results!G5-Raw_Financials!G5</f>
        <v>0</v>
      </c>
      <c r="H5" s="5">
        <f>+final_results!H5-Raw_Financials!H5</f>
        <v>0</v>
      </c>
      <c r="I5" s="5">
        <f>+final_results!I5-Raw_Financials!I5</f>
        <v>0</v>
      </c>
      <c r="J5" s="5">
        <f>+final_results!J5-Raw_Financials!J5</f>
        <v>0</v>
      </c>
      <c r="K5" s="5">
        <f>+final_results!K5-Raw_Financials!K5</f>
        <v>0</v>
      </c>
      <c r="M5" s="24">
        <f>ABS(M4)/M3</f>
        <v>3.8124683611899468E-2</v>
      </c>
      <c r="N5" t="s">
        <v>243</v>
      </c>
    </row>
    <row r="6" spans="1:14">
      <c r="A6" s="3" t="s">
        <v>4</v>
      </c>
      <c r="B6" s="5">
        <f>+final_results!B6-Raw_Financials!B6</f>
        <v>0</v>
      </c>
      <c r="C6" s="5">
        <f>+final_results!C6-Raw_Financials!C6</f>
        <v>0</v>
      </c>
      <c r="D6" s="5">
        <f>+final_results!D6-Raw_Financials!D6</f>
        <v>0</v>
      </c>
      <c r="E6" s="5">
        <f>+final_results!E6-Raw_Financials!E6</f>
        <v>0</v>
      </c>
      <c r="F6" s="5">
        <f>+final_results!F6-Raw_Financials!F6</f>
        <v>0</v>
      </c>
      <c r="G6" s="5">
        <f>+final_results!G6-Raw_Financials!G6</f>
        <v>0</v>
      </c>
      <c r="H6" s="5">
        <f>+final_results!H6-Raw_Financials!H6</f>
        <v>0</v>
      </c>
      <c r="I6" s="5">
        <f>+final_results!I6-Raw_Financials!I6</f>
        <v>0</v>
      </c>
      <c r="J6" s="5">
        <f>+final_results!J6-Raw_Financials!J6</f>
        <v>0</v>
      </c>
      <c r="K6" s="5">
        <f>+final_results!K6-Raw_Financials!K6</f>
        <v>0</v>
      </c>
    </row>
    <row r="7" spans="1:14">
      <c r="A7" s="3" t="s">
        <v>5</v>
      </c>
      <c r="B7" s="5">
        <f>+final_results!B7-Raw_Financials!B7</f>
        <v>0</v>
      </c>
      <c r="C7" s="5">
        <f>+final_results!C7-Raw_Financials!C7</f>
        <v>0</v>
      </c>
      <c r="D7" s="5">
        <f>+final_results!D7-Raw_Financials!D7</f>
        <v>0</v>
      </c>
      <c r="E7" s="5">
        <f>+final_results!E7-Raw_Financials!E7</f>
        <v>0</v>
      </c>
      <c r="F7" s="5">
        <f>+final_results!F7-Raw_Financials!F7</f>
        <v>0</v>
      </c>
      <c r="G7" s="5">
        <f>+final_results!G7-Raw_Financials!G7</f>
        <v>0</v>
      </c>
      <c r="H7" s="5">
        <f>+final_results!H7-Raw_Financials!H7</f>
        <v>0</v>
      </c>
      <c r="I7" s="5">
        <f>+final_results!I7-Raw_Financials!I7</f>
        <v>-81965.233175213914</v>
      </c>
      <c r="J7" s="5">
        <f>+final_results!J7-Raw_Financials!J7</f>
        <v>0</v>
      </c>
      <c r="K7" s="5">
        <f>+final_results!K7-Raw_Financials!K7</f>
        <v>0</v>
      </c>
    </row>
    <row r="8" spans="1:14">
      <c r="A8" s="3" t="s">
        <v>6</v>
      </c>
      <c r="B8" s="5">
        <f>+final_results!B8-Raw_Financials!B8</f>
        <v>-178922.48432105739</v>
      </c>
      <c r="C8" s="5">
        <f>+final_results!C8-Raw_Financials!C8</f>
        <v>0</v>
      </c>
      <c r="D8" s="5">
        <f>+final_results!D8-Raw_Financials!D8</f>
        <v>0</v>
      </c>
      <c r="E8" s="5">
        <f>+final_results!E8-Raw_Financials!E8</f>
        <v>0</v>
      </c>
      <c r="F8" s="5">
        <f>+final_results!F8-Raw_Financials!F8</f>
        <v>0</v>
      </c>
      <c r="G8" s="5">
        <f>+final_results!G8-Raw_Financials!G8</f>
        <v>0</v>
      </c>
      <c r="H8" s="5">
        <f>+final_results!H8-Raw_Financials!H8</f>
        <v>0</v>
      </c>
      <c r="I8" s="5">
        <f>+final_results!I8-Raw_Financials!I8</f>
        <v>0</v>
      </c>
      <c r="J8" s="5">
        <f>+final_results!J8-Raw_Financials!J8</f>
        <v>0</v>
      </c>
      <c r="K8" s="5">
        <f>+final_results!K8-Raw_Financials!K8</f>
        <v>0</v>
      </c>
    </row>
    <row r="9" spans="1:14" ht="18" customHeight="1">
      <c r="A9" s="5" t="s">
        <v>7</v>
      </c>
      <c r="B9" s="5">
        <f>+final_results!B9-Raw_Financials!B9</f>
        <v>0</v>
      </c>
      <c r="C9" s="5">
        <f>+final_results!C9-Raw_Financials!C9</f>
        <v>0</v>
      </c>
      <c r="D9" s="5">
        <f>+final_results!D9-Raw_Financials!D9</f>
        <v>0</v>
      </c>
      <c r="E9" s="5">
        <f>+final_results!E9-Raw_Financials!E9</f>
        <v>0</v>
      </c>
      <c r="F9" s="5">
        <f>+final_results!F9-Raw_Financials!F9</f>
        <v>0</v>
      </c>
      <c r="G9" s="5">
        <f>+final_results!G9-Raw_Financials!G9</f>
        <v>0</v>
      </c>
      <c r="H9" s="5">
        <f>+final_results!H9-Raw_Financials!H9</f>
        <v>0</v>
      </c>
      <c r="I9" s="5">
        <f>+final_results!I9-Raw_Financials!I9</f>
        <v>0</v>
      </c>
      <c r="J9" s="5">
        <f>+final_results!J9-Raw_Financials!J9</f>
        <v>0</v>
      </c>
      <c r="K9" s="5">
        <f>+final_results!K9-Raw_Financials!K9</f>
        <v>0</v>
      </c>
      <c r="M9" s="30" t="s">
        <v>242</v>
      </c>
      <c r="N9" s="30"/>
    </row>
    <row r="10" spans="1:14" ht="13" customHeight="1">
      <c r="A10" s="5" t="s">
        <v>8</v>
      </c>
      <c r="B10" s="5">
        <f>+final_results!B10-Raw_Financials!B10</f>
        <v>0</v>
      </c>
      <c r="C10" s="5">
        <f>+final_results!C10-Raw_Financials!C10</f>
        <v>0</v>
      </c>
      <c r="D10" s="5">
        <f>+final_results!D10-Raw_Financials!D10</f>
        <v>0</v>
      </c>
      <c r="E10" s="5">
        <f>+final_results!E10-Raw_Financials!E10</f>
        <v>0</v>
      </c>
      <c r="F10" s="5">
        <f>+final_results!F10-Raw_Financials!F10</f>
        <v>0</v>
      </c>
      <c r="G10" s="5">
        <f>+final_results!G10-Raw_Financials!G10</f>
        <v>0</v>
      </c>
      <c r="H10" s="5">
        <f>+final_results!H10-Raw_Financials!H10</f>
        <v>0</v>
      </c>
      <c r="I10" s="5">
        <f>+final_results!I10-Raw_Financials!I10</f>
        <v>0</v>
      </c>
      <c r="J10" s="5">
        <f>+final_results!J10-Raw_Financials!J10</f>
        <v>0</v>
      </c>
      <c r="K10" s="5">
        <f>+final_results!K10-Raw_Financials!K10</f>
        <v>0</v>
      </c>
      <c r="M10" s="30"/>
      <c r="N10" s="30"/>
    </row>
    <row r="11" spans="1:14" ht="13" customHeight="1">
      <c r="A11" s="5" t="s">
        <v>9</v>
      </c>
      <c r="B11" s="5">
        <f>+final_results!B11-Raw_Financials!B11</f>
        <v>0</v>
      </c>
      <c r="C11" s="5">
        <f>+final_results!C11-Raw_Financials!C11</f>
        <v>0</v>
      </c>
      <c r="D11" s="5">
        <f>+final_results!D11-Raw_Financials!D11</f>
        <v>0</v>
      </c>
      <c r="E11" s="5">
        <f>+final_results!E11-Raw_Financials!E11</f>
        <v>0</v>
      </c>
      <c r="F11" s="5">
        <f>+final_results!F11-Raw_Financials!F11</f>
        <v>0</v>
      </c>
      <c r="G11" s="5">
        <f>+final_results!G11-Raw_Financials!G11</f>
        <v>0</v>
      </c>
      <c r="H11" s="5">
        <f>+final_results!H11-Raw_Financials!H11</f>
        <v>0</v>
      </c>
      <c r="I11" s="5">
        <f>+final_results!I11-Raw_Financials!I11</f>
        <v>0</v>
      </c>
      <c r="J11" s="5">
        <f>+final_results!J11-Raw_Financials!J11</f>
        <v>0</v>
      </c>
      <c r="K11" s="5">
        <f>+final_results!K11-Raw_Financials!K11</f>
        <v>0</v>
      </c>
      <c r="M11" s="30"/>
      <c r="N11" s="30"/>
    </row>
    <row r="12" spans="1:14" ht="13" customHeight="1">
      <c r="A12" s="6" t="s">
        <v>10</v>
      </c>
      <c r="B12" s="5">
        <f>+final_results!B12-Raw_Financials!B12</f>
        <v>0</v>
      </c>
      <c r="C12" s="5">
        <f>+final_results!C12-Raw_Financials!C12</f>
        <v>0</v>
      </c>
      <c r="D12" s="5">
        <f>+final_results!D12-Raw_Financials!D12</f>
        <v>0</v>
      </c>
      <c r="E12" s="5">
        <f>+final_results!E12-Raw_Financials!E12</f>
        <v>0</v>
      </c>
      <c r="F12" s="5">
        <f>+final_results!F12-Raw_Financials!F12</f>
        <v>0</v>
      </c>
      <c r="G12" s="5">
        <f>+final_results!G12-Raw_Financials!G12</f>
        <v>0</v>
      </c>
      <c r="H12" s="5">
        <f>+final_results!H12-Raw_Financials!H12</f>
        <v>0</v>
      </c>
      <c r="I12" s="5">
        <f>+final_results!I12-Raw_Financials!I12</f>
        <v>0</v>
      </c>
      <c r="J12" s="5">
        <f>+final_results!J12-Raw_Financials!J12</f>
        <v>0</v>
      </c>
      <c r="K12" s="5">
        <f>+final_results!K12-Raw_Financials!K12</f>
        <v>0</v>
      </c>
      <c r="M12" s="30"/>
      <c r="N12" s="30"/>
    </row>
    <row r="13" spans="1:14" ht="13" customHeight="1">
      <c r="A13" s="5" t="s">
        <v>11</v>
      </c>
      <c r="B13" s="5">
        <f>+final_results!B13-Raw_Financials!B13</f>
        <v>0</v>
      </c>
      <c r="C13" s="5">
        <f>+final_results!C13-Raw_Financials!C13</f>
        <v>0</v>
      </c>
      <c r="D13" s="5">
        <f>+final_results!D13-Raw_Financials!D13</f>
        <v>0</v>
      </c>
      <c r="E13" s="5">
        <f>+final_results!E13-Raw_Financials!E13</f>
        <v>0</v>
      </c>
      <c r="F13" s="5">
        <f>+final_results!F13-Raw_Financials!F13</f>
        <v>0</v>
      </c>
      <c r="G13" s="5">
        <f>+final_results!G13-Raw_Financials!G13</f>
        <v>0</v>
      </c>
      <c r="H13" s="5">
        <f>+final_results!H13-Raw_Financials!H13</f>
        <v>0</v>
      </c>
      <c r="I13" s="5">
        <f>+final_results!I13-Raw_Financials!I13</f>
        <v>0</v>
      </c>
      <c r="J13" s="5">
        <f>+final_results!J13-Raw_Financials!J13</f>
        <v>0</v>
      </c>
      <c r="K13" s="5">
        <f>+final_results!K13-Raw_Financials!K13</f>
        <v>0</v>
      </c>
      <c r="M13" s="30"/>
      <c r="N13" s="30"/>
    </row>
    <row r="14" spans="1:14" ht="13" customHeight="1">
      <c r="A14" s="6" t="s">
        <v>12</v>
      </c>
      <c r="B14" s="5">
        <f>+final_results!B14-Raw_Financials!B14</f>
        <v>0</v>
      </c>
      <c r="C14" s="5">
        <f>+final_results!C14-Raw_Financials!C14</f>
        <v>0</v>
      </c>
      <c r="D14" s="5">
        <f>+final_results!D14-Raw_Financials!D14</f>
        <v>0</v>
      </c>
      <c r="E14" s="5">
        <f>+final_results!E14-Raw_Financials!E14</f>
        <v>0</v>
      </c>
      <c r="F14" s="5">
        <f>+final_results!F14-Raw_Financials!F14</f>
        <v>0</v>
      </c>
      <c r="G14" s="5">
        <f>+final_results!G14-Raw_Financials!G14</f>
        <v>0</v>
      </c>
      <c r="H14" s="5">
        <f>+final_results!H14-Raw_Financials!H14</f>
        <v>0</v>
      </c>
      <c r="I14" s="5">
        <f>+final_results!I14-Raw_Financials!I14</f>
        <v>0</v>
      </c>
      <c r="J14" s="5">
        <f>+final_results!J14-Raw_Financials!J14</f>
        <v>0</v>
      </c>
      <c r="K14" s="5">
        <f>+final_results!K14-Raw_Financials!K14</f>
        <v>0</v>
      </c>
      <c r="M14" s="30"/>
      <c r="N14" s="30"/>
    </row>
    <row r="15" spans="1:14" ht="13" customHeight="1">
      <c r="A15" s="5" t="s">
        <v>13</v>
      </c>
      <c r="B15" s="5">
        <f>+final_results!B15-Raw_Financials!B15</f>
        <v>0</v>
      </c>
      <c r="C15" s="5">
        <f>+final_results!C15-Raw_Financials!C15</f>
        <v>0</v>
      </c>
      <c r="D15" s="5">
        <f>+final_results!D15-Raw_Financials!D15</f>
        <v>0</v>
      </c>
      <c r="E15" s="5">
        <f>+final_results!E15-Raw_Financials!E15</f>
        <v>0</v>
      </c>
      <c r="F15" s="5">
        <f>+final_results!F15-Raw_Financials!F15</f>
        <v>0</v>
      </c>
      <c r="G15" s="5">
        <f>+final_results!G15-Raw_Financials!G15</f>
        <v>0</v>
      </c>
      <c r="H15" s="5">
        <f>+final_results!H15-Raw_Financials!H15</f>
        <v>0</v>
      </c>
      <c r="I15" s="5">
        <f>+final_results!I15-Raw_Financials!I15</f>
        <v>0</v>
      </c>
      <c r="J15" s="5">
        <f>+final_results!J15-Raw_Financials!J15</f>
        <v>0</v>
      </c>
      <c r="K15" s="5">
        <f>+final_results!K15-Raw_Financials!K15</f>
        <v>0</v>
      </c>
      <c r="M15" s="30"/>
      <c r="N15" s="30"/>
    </row>
    <row r="16" spans="1:14" ht="13" customHeight="1">
      <c r="A16" s="6" t="s">
        <v>14</v>
      </c>
      <c r="B16" s="5">
        <f>+final_results!B16-Raw_Financials!B16</f>
        <v>0</v>
      </c>
      <c r="C16" s="5">
        <f>+final_results!C16-Raw_Financials!C16</f>
        <v>0</v>
      </c>
      <c r="D16" s="5">
        <f>+final_results!D16-Raw_Financials!D16</f>
        <v>0</v>
      </c>
      <c r="E16" s="5">
        <f>+final_results!E16-Raw_Financials!E16</f>
        <v>0</v>
      </c>
      <c r="F16" s="5">
        <f>+final_results!F16-Raw_Financials!F16</f>
        <v>0</v>
      </c>
      <c r="G16" s="5">
        <f>+final_results!G16-Raw_Financials!G16</f>
        <v>0</v>
      </c>
      <c r="H16" s="5">
        <f>+final_results!H16-Raw_Financials!H16</f>
        <v>16256.429165611538</v>
      </c>
      <c r="I16" s="5">
        <f>+final_results!I16-Raw_Financials!I16</f>
        <v>-209769.48861667153</v>
      </c>
      <c r="J16" s="5">
        <f>+final_results!J16-Raw_Financials!J16</f>
        <v>-175982.75243245484</v>
      </c>
      <c r="K16" s="5">
        <f>+final_results!K16-Raw_Financials!K16</f>
        <v>0</v>
      </c>
      <c r="M16" s="30"/>
      <c r="N16" s="30"/>
    </row>
    <row r="17" spans="1:14" ht="13" customHeight="1">
      <c r="A17" s="5" t="s">
        <v>15</v>
      </c>
      <c r="B17" s="5">
        <f>+final_results!B17-Raw_Financials!B17</f>
        <v>0</v>
      </c>
      <c r="C17" s="5">
        <f>+final_results!C17-Raw_Financials!C17</f>
        <v>0</v>
      </c>
      <c r="D17" s="5">
        <f>+final_results!D17-Raw_Financials!D17</f>
        <v>0</v>
      </c>
      <c r="E17" s="5">
        <f>+final_results!E17-Raw_Financials!E17</f>
        <v>0</v>
      </c>
      <c r="F17" s="5">
        <f>+final_results!F17-Raw_Financials!F17</f>
        <v>0</v>
      </c>
      <c r="G17" s="5">
        <f>+final_results!G17-Raw_Financials!G17</f>
        <v>0</v>
      </c>
      <c r="H17" s="5">
        <f>+final_results!H17-Raw_Financials!H17</f>
        <v>0</v>
      </c>
      <c r="I17" s="5">
        <f>+final_results!I17-Raw_Financials!I17</f>
        <v>0</v>
      </c>
      <c r="J17" s="5">
        <f>+final_results!J17-Raw_Financials!J17</f>
        <v>0</v>
      </c>
      <c r="K17" s="5">
        <f>+final_results!K17-Raw_Financials!K17</f>
        <v>-74277.747607776619</v>
      </c>
      <c r="M17" s="30"/>
      <c r="N17" s="30"/>
    </row>
    <row r="18" spans="1:14" ht="13" customHeight="1">
      <c r="A18" s="6" t="s">
        <v>16</v>
      </c>
      <c r="B18" s="5">
        <f>+final_results!B18-Raw_Financials!B18</f>
        <v>0</v>
      </c>
      <c r="C18" s="5">
        <f>+final_results!C18-Raw_Financials!C18</f>
        <v>0</v>
      </c>
      <c r="D18" s="5">
        <f>+final_results!D18-Raw_Financials!D18</f>
        <v>0</v>
      </c>
      <c r="E18" s="5">
        <f>+final_results!E18-Raw_Financials!E18</f>
        <v>0</v>
      </c>
      <c r="F18" s="5">
        <f>+final_results!F18-Raw_Financials!F18</f>
        <v>0</v>
      </c>
      <c r="G18" s="5">
        <f>+final_results!G18-Raw_Financials!G18</f>
        <v>0</v>
      </c>
      <c r="H18" s="5">
        <f>+final_results!H18-Raw_Financials!H18</f>
        <v>0</v>
      </c>
      <c r="I18" s="5">
        <f>+final_results!I18-Raw_Financials!I18</f>
        <v>0</v>
      </c>
      <c r="J18" s="5">
        <f>+final_results!J18-Raw_Financials!J18</f>
        <v>0</v>
      </c>
      <c r="K18" s="5">
        <f>+final_results!K18-Raw_Financials!K18</f>
        <v>0</v>
      </c>
      <c r="M18" s="30"/>
      <c r="N18" s="30"/>
    </row>
    <row r="19" spans="1:14">
      <c r="A19" s="5" t="s">
        <v>17</v>
      </c>
      <c r="B19" s="5">
        <f>+final_results!B19-Raw_Financials!B19</f>
        <v>0</v>
      </c>
      <c r="C19" s="5">
        <f>+final_results!C19-Raw_Financials!C19</f>
        <v>0</v>
      </c>
      <c r="D19" s="5">
        <f>+final_results!D19-Raw_Financials!D19</f>
        <v>0</v>
      </c>
      <c r="E19" s="5">
        <f>+final_results!E19-Raw_Financials!E19</f>
        <v>0</v>
      </c>
      <c r="F19" s="5">
        <f>+final_results!F19-Raw_Financials!F19</f>
        <v>0</v>
      </c>
      <c r="G19" s="5">
        <f>+final_results!G19-Raw_Financials!G19</f>
        <v>0</v>
      </c>
      <c r="H19" s="5">
        <f>+final_results!H19-Raw_Financials!H19</f>
        <v>0</v>
      </c>
      <c r="I19" s="5">
        <f>+final_results!I19-Raw_Financials!I19</f>
        <v>0</v>
      </c>
      <c r="J19" s="5">
        <f>+final_results!J19-Raw_Financials!J19</f>
        <v>0</v>
      </c>
      <c r="K19" s="5">
        <f>+final_results!K19-Raw_Financials!K19</f>
        <v>0</v>
      </c>
      <c r="M19" s="30"/>
      <c r="N19" s="30"/>
    </row>
    <row r="20" spans="1:14">
      <c r="A20" s="7" t="s">
        <v>18</v>
      </c>
      <c r="B20" s="5">
        <f>+final_results!B20-Raw_Financials!B20</f>
        <v>0</v>
      </c>
      <c r="C20" s="5">
        <f>+final_results!C20-Raw_Financials!C20</f>
        <v>0</v>
      </c>
      <c r="D20" s="5">
        <f>+final_results!D20-Raw_Financials!D20</f>
        <v>0</v>
      </c>
      <c r="E20" s="5">
        <f>+final_results!E20-Raw_Financials!E20</f>
        <v>0</v>
      </c>
      <c r="F20" s="5">
        <f>+final_results!F20-Raw_Financials!F20</f>
        <v>0</v>
      </c>
      <c r="G20" s="5">
        <f>+final_results!G20-Raw_Financials!G20</f>
        <v>0</v>
      </c>
      <c r="H20" s="5">
        <f>+final_results!H20-Raw_Financials!H20</f>
        <v>0</v>
      </c>
      <c r="I20" s="5">
        <f>+final_results!I20-Raw_Financials!I20</f>
        <v>0</v>
      </c>
      <c r="J20" s="5">
        <f>+final_results!J20-Raw_Financials!J20</f>
        <v>0</v>
      </c>
      <c r="K20" s="5">
        <f>+final_results!K20-Raw_Financials!K20</f>
        <v>0</v>
      </c>
      <c r="M20" s="30"/>
      <c r="N20" s="30"/>
    </row>
    <row r="21" spans="1:14">
      <c r="A21" s="5" t="s">
        <v>19</v>
      </c>
      <c r="B21" s="5">
        <f>+final_results!B21-Raw_Financials!B21</f>
        <v>0</v>
      </c>
      <c r="C21" s="5">
        <f>+final_results!C21-Raw_Financials!C21</f>
        <v>0</v>
      </c>
      <c r="D21" s="5">
        <f>+final_results!D21-Raw_Financials!D21</f>
        <v>0</v>
      </c>
      <c r="E21" s="5">
        <f>+final_results!E21-Raw_Financials!E21</f>
        <v>0</v>
      </c>
      <c r="F21" s="5">
        <f>+final_results!F21-Raw_Financials!F21</f>
        <v>0</v>
      </c>
      <c r="G21" s="5">
        <f>+final_results!G21-Raw_Financials!G21</f>
        <v>0</v>
      </c>
      <c r="H21" s="5">
        <f>+final_results!H21-Raw_Financials!H21</f>
        <v>0</v>
      </c>
      <c r="I21" s="5">
        <f>+final_results!I21-Raw_Financials!I21</f>
        <v>0</v>
      </c>
      <c r="J21" s="5">
        <f>+final_results!J21-Raw_Financials!J21</f>
        <v>0</v>
      </c>
      <c r="K21" s="5">
        <f>+final_results!K21-Raw_Financials!K21</f>
        <v>0</v>
      </c>
      <c r="M21" s="30"/>
      <c r="N21" s="30"/>
    </row>
    <row r="22" spans="1:14">
      <c r="A22" s="7" t="s">
        <v>20</v>
      </c>
      <c r="B22" s="5">
        <f>+final_results!B22-Raw_Financials!B22</f>
        <v>0</v>
      </c>
      <c r="C22" s="5">
        <f>+final_results!C22-Raw_Financials!C22</f>
        <v>0</v>
      </c>
      <c r="D22" s="5">
        <f>+final_results!D22-Raw_Financials!D22</f>
        <v>0</v>
      </c>
      <c r="E22" s="5">
        <f>+final_results!E22-Raw_Financials!E22</f>
        <v>0</v>
      </c>
      <c r="F22" s="5">
        <f>+final_results!F22-Raw_Financials!F22</f>
        <v>0</v>
      </c>
      <c r="G22" s="5">
        <f>+final_results!G22-Raw_Financials!G22</f>
        <v>0</v>
      </c>
      <c r="H22" s="5">
        <f>+final_results!H22-Raw_Financials!H22</f>
        <v>0</v>
      </c>
      <c r="I22" s="5">
        <f>+final_results!I22-Raw_Financials!I22</f>
        <v>0</v>
      </c>
      <c r="J22" s="5">
        <f>+final_results!J22-Raw_Financials!J22</f>
        <v>0</v>
      </c>
      <c r="K22" s="5">
        <f>+final_results!K22-Raw_Financials!K22</f>
        <v>0</v>
      </c>
      <c r="M22" s="30"/>
      <c r="N22" s="30"/>
    </row>
    <row r="23" spans="1:14">
      <c r="A23" s="5" t="s">
        <v>21</v>
      </c>
      <c r="B23" s="5">
        <f>+final_results!B23-Raw_Financials!B23</f>
        <v>0</v>
      </c>
      <c r="C23" s="5">
        <f>+final_results!C23-Raw_Financials!C23</f>
        <v>0</v>
      </c>
      <c r="D23" s="5">
        <f>+final_results!D23-Raw_Financials!D23</f>
        <v>0</v>
      </c>
      <c r="E23" s="5">
        <f>+final_results!E23-Raw_Financials!E23</f>
        <v>0</v>
      </c>
      <c r="F23" s="5">
        <f>+final_results!F23-Raw_Financials!F23</f>
        <v>0</v>
      </c>
      <c r="G23" s="5">
        <f>+final_results!G23-Raw_Financials!G23</f>
        <v>0</v>
      </c>
      <c r="H23" s="5">
        <f>+final_results!H23-Raw_Financials!H23</f>
        <v>0</v>
      </c>
      <c r="I23" s="5">
        <f>+final_results!I23-Raw_Financials!I23</f>
        <v>0</v>
      </c>
      <c r="J23" s="5">
        <f>+final_results!J23-Raw_Financials!J23</f>
        <v>0</v>
      </c>
      <c r="K23" s="5">
        <f>+final_results!K23-Raw_Financials!K23</f>
        <v>0</v>
      </c>
      <c r="M23" s="30"/>
      <c r="N23" s="30"/>
    </row>
    <row r="24" spans="1:14">
      <c r="A24" s="6" t="s">
        <v>22</v>
      </c>
      <c r="B24" s="5">
        <f>+final_results!B24-Raw_Financials!B24</f>
        <v>0</v>
      </c>
      <c r="C24" s="5">
        <f>+final_results!C24-Raw_Financials!C24</f>
        <v>0</v>
      </c>
      <c r="D24" s="5">
        <f>+final_results!D24-Raw_Financials!D24</f>
        <v>0</v>
      </c>
      <c r="E24" s="5">
        <f>+final_results!E24-Raw_Financials!E24</f>
        <v>0</v>
      </c>
      <c r="F24" s="5">
        <f>+final_results!F24-Raw_Financials!F24</f>
        <v>0</v>
      </c>
      <c r="G24" s="5">
        <f>+final_results!G24-Raw_Financials!G24</f>
        <v>0</v>
      </c>
      <c r="H24" s="5">
        <f>+final_results!H24-Raw_Financials!H24</f>
        <v>0</v>
      </c>
      <c r="I24" s="5">
        <f>+final_results!I24-Raw_Financials!I24</f>
        <v>0</v>
      </c>
      <c r="J24" s="5">
        <f>+final_results!J24-Raw_Financials!J24</f>
        <v>0</v>
      </c>
      <c r="K24" s="5">
        <f>+final_results!K24-Raw_Financials!K24</f>
        <v>0</v>
      </c>
      <c r="M24" s="30"/>
      <c r="N24" s="30"/>
    </row>
    <row r="25" spans="1:14">
      <c r="A25" s="5" t="s">
        <v>23</v>
      </c>
      <c r="B25" s="5">
        <f>+final_results!B25-Raw_Financials!B25</f>
        <v>0</v>
      </c>
      <c r="C25" s="5">
        <f>+final_results!C25-Raw_Financials!C25</f>
        <v>0</v>
      </c>
      <c r="D25" s="5">
        <f>+final_results!D25-Raw_Financials!D25</f>
        <v>0</v>
      </c>
      <c r="E25" s="5">
        <f>+final_results!E25-Raw_Financials!E25</f>
        <v>0</v>
      </c>
      <c r="F25" s="5">
        <f>+final_results!F25-Raw_Financials!F25</f>
        <v>0</v>
      </c>
      <c r="G25" s="5">
        <f>+final_results!G25-Raw_Financials!G25</f>
        <v>0</v>
      </c>
      <c r="H25" s="5">
        <f>+final_results!H25-Raw_Financials!H25</f>
        <v>0</v>
      </c>
      <c r="I25" s="5">
        <f>+final_results!I25-Raw_Financials!I25</f>
        <v>0</v>
      </c>
      <c r="J25" s="5">
        <f>+final_results!J25-Raw_Financials!J25</f>
        <v>0</v>
      </c>
      <c r="K25" s="5">
        <f>+final_results!K25-Raw_Financials!K25</f>
        <v>0</v>
      </c>
      <c r="M25" s="30"/>
      <c r="N25" s="30"/>
    </row>
    <row r="26" spans="1:14">
      <c r="A26" s="6" t="s">
        <v>24</v>
      </c>
      <c r="B26" s="5">
        <f>+final_results!B26-Raw_Financials!B26</f>
        <v>0</v>
      </c>
      <c r="C26" s="5">
        <f>+final_results!C26-Raw_Financials!C26</f>
        <v>0</v>
      </c>
      <c r="D26" s="5">
        <f>+final_results!D26-Raw_Financials!D26</f>
        <v>0</v>
      </c>
      <c r="E26" s="5">
        <f>+final_results!E26-Raw_Financials!E26</f>
        <v>0</v>
      </c>
      <c r="F26" s="5">
        <f>+final_results!F26-Raw_Financials!F26</f>
        <v>0</v>
      </c>
      <c r="G26" s="5">
        <f>+final_results!G26-Raw_Financials!G26</f>
        <v>0</v>
      </c>
      <c r="H26" s="5">
        <f>+final_results!H26-Raw_Financials!H26</f>
        <v>0</v>
      </c>
      <c r="I26" s="5">
        <f>+final_results!I26-Raw_Financials!I26</f>
        <v>0</v>
      </c>
      <c r="J26" s="5">
        <f>+final_results!J26-Raw_Financials!J26</f>
        <v>0</v>
      </c>
      <c r="K26" s="5">
        <f>+final_results!K26-Raw_Financials!K26</f>
        <v>0</v>
      </c>
    </row>
    <row r="27" spans="1:14" ht="13" customHeight="1">
      <c r="A27" s="5" t="s">
        <v>25</v>
      </c>
      <c r="B27" s="5">
        <f>+final_results!B27-Raw_Financials!B27</f>
        <v>0</v>
      </c>
      <c r="C27" s="5">
        <f>+final_results!C27-Raw_Financials!C27</f>
        <v>0</v>
      </c>
      <c r="D27" s="5">
        <f>+final_results!D27-Raw_Financials!D27</f>
        <v>0</v>
      </c>
      <c r="E27" s="5">
        <f>+final_results!E27-Raw_Financials!E27</f>
        <v>0</v>
      </c>
      <c r="F27" s="5">
        <f>+final_results!F27-Raw_Financials!F27</f>
        <v>0</v>
      </c>
      <c r="G27" s="5">
        <f>+final_results!G27-Raw_Financials!G27</f>
        <v>0</v>
      </c>
      <c r="H27" s="5">
        <f>+final_results!H27-Raw_Financials!H27</f>
        <v>0</v>
      </c>
      <c r="I27" s="5">
        <f>+final_results!I27-Raw_Financials!I27</f>
        <v>0</v>
      </c>
      <c r="J27" s="5">
        <f>+final_results!J27-Raw_Financials!J27</f>
        <v>0</v>
      </c>
      <c r="K27" s="5">
        <f>+final_results!K27-Raw_Financials!K27</f>
        <v>0</v>
      </c>
      <c r="M27" s="31" t="s">
        <v>244</v>
      </c>
      <c r="N27" s="31"/>
    </row>
    <row r="28" spans="1:14" ht="13" customHeight="1">
      <c r="A28" s="6" t="s">
        <v>26</v>
      </c>
      <c r="B28" s="5">
        <f>+final_results!B28-Raw_Financials!B28</f>
        <v>0</v>
      </c>
      <c r="C28" s="5">
        <f>+final_results!C28-Raw_Financials!C28</f>
        <v>0</v>
      </c>
      <c r="D28" s="5">
        <f>+final_results!D28-Raw_Financials!D28</f>
        <v>0</v>
      </c>
      <c r="E28" s="5">
        <f>+final_results!E28-Raw_Financials!E28</f>
        <v>0</v>
      </c>
      <c r="F28" s="5">
        <f>+final_results!F28-Raw_Financials!F28</f>
        <v>0</v>
      </c>
      <c r="G28" s="5">
        <f>+final_results!G28-Raw_Financials!G28</f>
        <v>0</v>
      </c>
      <c r="H28" s="5">
        <f>+final_results!H28-Raw_Financials!H28</f>
        <v>0</v>
      </c>
      <c r="I28" s="5">
        <f>+final_results!I28-Raw_Financials!I28</f>
        <v>0</v>
      </c>
      <c r="J28" s="5">
        <f>+final_results!J28-Raw_Financials!J28</f>
        <v>0</v>
      </c>
      <c r="K28" s="5">
        <f>+final_results!K28-Raw_Financials!K28</f>
        <v>0</v>
      </c>
      <c r="M28" s="31"/>
      <c r="N28" s="31"/>
    </row>
    <row r="29" spans="1:14" ht="13" customHeight="1">
      <c r="A29" s="5" t="s">
        <v>27</v>
      </c>
      <c r="B29" s="5">
        <f>+final_results!B29-Raw_Financials!B29</f>
        <v>0</v>
      </c>
      <c r="C29" s="5">
        <f>+final_results!C29-Raw_Financials!C29</f>
        <v>0</v>
      </c>
      <c r="D29" s="5">
        <f>+final_results!D29-Raw_Financials!D29</f>
        <v>0</v>
      </c>
      <c r="E29" s="5">
        <f>+final_results!E29-Raw_Financials!E29</f>
        <v>0</v>
      </c>
      <c r="F29" s="5">
        <f>+final_results!F29-Raw_Financials!F29</f>
        <v>0</v>
      </c>
      <c r="G29" s="5">
        <f>+final_results!G29-Raw_Financials!G29</f>
        <v>0</v>
      </c>
      <c r="H29" s="5">
        <f>+final_results!H29-Raw_Financials!H29</f>
        <v>0</v>
      </c>
      <c r="I29" s="5">
        <f>+final_results!I29-Raw_Financials!I29</f>
        <v>0</v>
      </c>
      <c r="J29" s="5">
        <f>+final_results!J29-Raw_Financials!J29</f>
        <v>0</v>
      </c>
      <c r="K29" s="5">
        <f>+final_results!K29-Raw_Financials!K29</f>
        <v>0</v>
      </c>
      <c r="M29" s="31"/>
      <c r="N29" s="31"/>
    </row>
    <row r="30" spans="1:14" ht="13" customHeight="1">
      <c r="A30" s="6" t="s">
        <v>28</v>
      </c>
      <c r="B30" s="5">
        <f>+final_results!B30-Raw_Financials!B30</f>
        <v>0</v>
      </c>
      <c r="C30" s="5">
        <f>+final_results!C30-Raw_Financials!C30</f>
        <v>0</v>
      </c>
      <c r="D30" s="5">
        <f>+final_results!D30-Raw_Financials!D30</f>
        <v>0</v>
      </c>
      <c r="E30" s="5">
        <f>+final_results!E30-Raw_Financials!E30</f>
        <v>0</v>
      </c>
      <c r="F30" s="5">
        <f>+final_results!F30-Raw_Financials!F30</f>
        <v>0</v>
      </c>
      <c r="G30" s="5">
        <f>+final_results!G30-Raw_Financials!G30</f>
        <v>0</v>
      </c>
      <c r="H30" s="5">
        <f>+final_results!H30-Raw_Financials!H30</f>
        <v>0</v>
      </c>
      <c r="I30" s="5">
        <f>+final_results!I30-Raw_Financials!I30</f>
        <v>0</v>
      </c>
      <c r="J30" s="5">
        <f>+final_results!J30-Raw_Financials!J30</f>
        <v>0</v>
      </c>
      <c r="K30" s="5">
        <f>+final_results!K30-Raw_Financials!K30</f>
        <v>0</v>
      </c>
      <c r="M30" s="31"/>
      <c r="N30" s="31"/>
    </row>
    <row r="31" spans="1:14" ht="13" customHeight="1">
      <c r="A31" s="5" t="s">
        <v>29</v>
      </c>
      <c r="B31" s="5">
        <f>+final_results!B31-Raw_Financials!B31</f>
        <v>0</v>
      </c>
      <c r="C31" s="5">
        <f>+final_results!C31-Raw_Financials!C31</f>
        <v>0</v>
      </c>
      <c r="D31" s="5">
        <f>+final_results!D31-Raw_Financials!D31</f>
        <v>0</v>
      </c>
      <c r="E31" s="5">
        <f>+final_results!E31-Raw_Financials!E31</f>
        <v>0</v>
      </c>
      <c r="F31" s="5">
        <f>+final_results!F31-Raw_Financials!F31</f>
        <v>0</v>
      </c>
      <c r="G31" s="5">
        <f>+final_results!G31-Raw_Financials!G31</f>
        <v>0</v>
      </c>
      <c r="H31" s="5">
        <f>+final_results!H31-Raw_Financials!H31</f>
        <v>0</v>
      </c>
      <c r="I31" s="5">
        <f>+final_results!I31-Raw_Financials!I31</f>
        <v>0</v>
      </c>
      <c r="J31" s="5">
        <f>+final_results!J31-Raw_Financials!J31</f>
        <v>0</v>
      </c>
      <c r="K31" s="5">
        <f>+final_results!K31-Raw_Financials!K31</f>
        <v>0</v>
      </c>
      <c r="M31" s="31"/>
      <c r="N31" s="31"/>
    </row>
    <row r="32" spans="1:14" ht="13" customHeight="1">
      <c r="A32" s="7" t="s">
        <v>30</v>
      </c>
      <c r="B32" s="5">
        <f>+final_results!B32-Raw_Financials!B32</f>
        <v>0</v>
      </c>
      <c r="C32" s="5">
        <f>+final_results!C32-Raw_Financials!C32</f>
        <v>0</v>
      </c>
      <c r="D32" s="5">
        <f>+final_results!D32-Raw_Financials!D32</f>
        <v>0</v>
      </c>
      <c r="E32" s="5">
        <f>+final_results!E32-Raw_Financials!E32</f>
        <v>0</v>
      </c>
      <c r="F32" s="5">
        <f>+final_results!F32-Raw_Financials!F32</f>
        <v>0</v>
      </c>
      <c r="G32" s="5">
        <f>+final_results!G32-Raw_Financials!G32</f>
        <v>0</v>
      </c>
      <c r="H32" s="5">
        <f>+final_results!H32-Raw_Financials!H32</f>
        <v>0</v>
      </c>
      <c r="I32" s="5">
        <f>+final_results!I32-Raw_Financials!I32</f>
        <v>0</v>
      </c>
      <c r="J32" s="5">
        <f>+final_results!J32-Raw_Financials!J32</f>
        <v>0</v>
      </c>
      <c r="K32" s="5">
        <f>+final_results!K32-Raw_Financials!K32</f>
        <v>0</v>
      </c>
      <c r="M32" s="31"/>
      <c r="N32" s="31"/>
    </row>
    <row r="33" spans="1:14" ht="13" customHeight="1">
      <c r="A33" s="5" t="s">
        <v>31</v>
      </c>
      <c r="B33" s="5">
        <f>+final_results!B33-Raw_Financials!B33</f>
        <v>0</v>
      </c>
      <c r="C33" s="5">
        <f>+final_results!C33-Raw_Financials!C33</f>
        <v>0</v>
      </c>
      <c r="D33" s="5">
        <f>+final_results!D33-Raw_Financials!D33</f>
        <v>0</v>
      </c>
      <c r="E33" s="5">
        <f>+final_results!E33-Raw_Financials!E33</f>
        <v>0</v>
      </c>
      <c r="F33" s="5">
        <f>+final_results!F33-Raw_Financials!F33</f>
        <v>0</v>
      </c>
      <c r="G33" s="5">
        <f>+final_results!G33-Raw_Financials!G33</f>
        <v>0</v>
      </c>
      <c r="H33" s="5">
        <f>+final_results!H33-Raw_Financials!H33</f>
        <v>0</v>
      </c>
      <c r="I33" s="5">
        <f>+final_results!I33-Raw_Financials!I33</f>
        <v>0</v>
      </c>
      <c r="J33" s="5">
        <f>+final_results!J33-Raw_Financials!J33</f>
        <v>-40840.766125840077</v>
      </c>
      <c r="K33" s="5">
        <f>+final_results!K33-Raw_Financials!K33</f>
        <v>-232655.80741581402</v>
      </c>
      <c r="M33" s="31"/>
      <c r="N33" s="31"/>
    </row>
    <row r="34" spans="1:14" ht="13" customHeight="1">
      <c r="A34" s="6" t="s">
        <v>32</v>
      </c>
      <c r="B34" s="5">
        <f>+final_results!B34-Raw_Financials!B34</f>
        <v>-499.62299999999999</v>
      </c>
      <c r="C34" s="5">
        <f>+final_results!C34-Raw_Financials!C34</f>
        <v>-11206.319</v>
      </c>
      <c r="D34" s="5">
        <f>+final_results!D34-Raw_Financials!D34</f>
        <v>0</v>
      </c>
      <c r="E34" s="5">
        <f>+final_results!E34-Raw_Financials!E34</f>
        <v>0</v>
      </c>
      <c r="F34" s="5">
        <f>+final_results!F34-Raw_Financials!F34</f>
        <v>0</v>
      </c>
      <c r="G34" s="5">
        <f>+final_results!G34-Raw_Financials!G34</f>
        <v>0</v>
      </c>
      <c r="H34" s="5">
        <f>+final_results!H34-Raw_Financials!H34</f>
        <v>0</v>
      </c>
      <c r="I34" s="5">
        <f>+final_results!I34-Raw_Financials!I34</f>
        <v>0</v>
      </c>
      <c r="J34" s="5">
        <f>+final_results!J34-Raw_Financials!J34</f>
        <v>0</v>
      </c>
      <c r="K34" s="5">
        <f>+final_results!K34-Raw_Financials!K34</f>
        <v>0</v>
      </c>
      <c r="M34" s="31"/>
      <c r="N34" s="31"/>
    </row>
    <row r="35" spans="1:14" ht="13" customHeight="1">
      <c r="A35" s="5" t="s">
        <v>33</v>
      </c>
      <c r="B35" s="5">
        <f>+final_results!B35-Raw_Financials!B35</f>
        <v>0</v>
      </c>
      <c r="C35" s="5">
        <f>+final_results!C35-Raw_Financials!C35</f>
        <v>0</v>
      </c>
      <c r="D35" s="5">
        <f>+final_results!D35-Raw_Financials!D35</f>
        <v>0</v>
      </c>
      <c r="E35" s="5">
        <f>+final_results!E35-Raw_Financials!E35</f>
        <v>0</v>
      </c>
      <c r="F35" s="5">
        <f>+final_results!F35-Raw_Financials!F35</f>
        <v>0</v>
      </c>
      <c r="G35" s="5">
        <f>+final_results!G35-Raw_Financials!G35</f>
        <v>0</v>
      </c>
      <c r="H35" s="5">
        <f>+final_results!H35-Raw_Financials!H35</f>
        <v>0</v>
      </c>
      <c r="I35" s="5">
        <f>+final_results!I35-Raw_Financials!I35</f>
        <v>0</v>
      </c>
      <c r="J35" s="5">
        <f>+final_results!J35-Raw_Financials!J35</f>
        <v>0</v>
      </c>
      <c r="K35" s="5">
        <f>+final_results!K35-Raw_Financials!K35</f>
        <v>0</v>
      </c>
      <c r="M35" s="31"/>
      <c r="N35" s="31"/>
    </row>
    <row r="36" spans="1:14">
      <c r="A36" s="6" t="s">
        <v>34</v>
      </c>
      <c r="B36" s="5">
        <f>+final_results!B36-Raw_Financials!B36</f>
        <v>-13057.348</v>
      </c>
      <c r="C36" s="5">
        <f>+final_results!C36-Raw_Financials!C36</f>
        <v>-1874.5450000000001</v>
      </c>
      <c r="D36" s="5">
        <f>+final_results!D36-Raw_Financials!D36</f>
        <v>0</v>
      </c>
      <c r="E36" s="5">
        <f>+final_results!E36-Raw_Financials!E36</f>
        <v>0</v>
      </c>
      <c r="F36" s="5">
        <f>+final_results!F36-Raw_Financials!F36</f>
        <v>0</v>
      </c>
      <c r="G36" s="5">
        <f>+final_results!G36-Raw_Financials!G36</f>
        <v>0</v>
      </c>
      <c r="H36" s="5">
        <f>+final_results!H36-Raw_Financials!H36</f>
        <v>0</v>
      </c>
      <c r="I36" s="5">
        <f>+final_results!I36-Raw_Financials!I36</f>
        <v>0</v>
      </c>
      <c r="J36" s="5">
        <f>+final_results!J36-Raw_Financials!J36</f>
        <v>0</v>
      </c>
      <c r="K36" s="5">
        <f>+final_results!K36-Raw_Financials!K36</f>
        <v>0</v>
      </c>
    </row>
    <row r="37" spans="1:14">
      <c r="A37" s="5" t="s">
        <v>35</v>
      </c>
      <c r="B37" s="5">
        <f>+final_results!B37-Raw_Financials!B37</f>
        <v>0</v>
      </c>
      <c r="C37" s="5">
        <f>+final_results!C37-Raw_Financials!C37</f>
        <v>-518.78276315560834</v>
      </c>
      <c r="D37" s="5">
        <f>+final_results!D37-Raw_Financials!D37</f>
        <v>0</v>
      </c>
      <c r="E37" s="5">
        <f>+final_results!E37-Raw_Financials!E37</f>
        <v>0</v>
      </c>
      <c r="F37" s="5">
        <f>+final_results!F37-Raw_Financials!F37</f>
        <v>0</v>
      </c>
      <c r="G37" s="5">
        <f>+final_results!G37-Raw_Financials!G37</f>
        <v>0</v>
      </c>
      <c r="H37" s="5">
        <f>+final_results!H37-Raw_Financials!H37</f>
        <v>0</v>
      </c>
      <c r="I37" s="5">
        <f>+final_results!I37-Raw_Financials!I37</f>
        <v>0</v>
      </c>
      <c r="J37" s="5">
        <f>+final_results!J37-Raw_Financials!J37</f>
        <v>0</v>
      </c>
      <c r="K37" s="5">
        <f>+final_results!K37-Raw_Financials!K37</f>
        <v>0</v>
      </c>
    </row>
    <row r="38" spans="1:14">
      <c r="A38" s="6" t="s">
        <v>36</v>
      </c>
      <c r="B38" s="5">
        <f>+final_results!B38-Raw_Financials!B38</f>
        <v>0</v>
      </c>
      <c r="C38" s="5">
        <f>+final_results!C38-Raw_Financials!C38</f>
        <v>0</v>
      </c>
      <c r="D38" s="5">
        <f>+final_results!D38-Raw_Financials!D38</f>
        <v>0</v>
      </c>
      <c r="E38" s="5">
        <f>+final_results!E38-Raw_Financials!E38</f>
        <v>0</v>
      </c>
      <c r="F38" s="5">
        <f>+final_results!F38-Raw_Financials!F38</f>
        <v>0</v>
      </c>
      <c r="G38" s="5">
        <f>+final_results!G38-Raw_Financials!G38</f>
        <v>0</v>
      </c>
      <c r="H38" s="5">
        <f>+final_results!H38-Raw_Financials!H38</f>
        <v>0</v>
      </c>
      <c r="I38" s="5">
        <f>+final_results!I38-Raw_Financials!I38</f>
        <v>0</v>
      </c>
      <c r="J38" s="5">
        <f>+final_results!J38-Raw_Financials!J38</f>
        <v>0</v>
      </c>
      <c r="K38" s="5">
        <f>+final_results!K38-Raw_Financials!K38</f>
        <v>0</v>
      </c>
    </row>
    <row r="39" spans="1:14">
      <c r="A39" s="5" t="s">
        <v>37</v>
      </c>
      <c r="B39" s="5">
        <f>+final_results!B39-Raw_Financials!B39</f>
        <v>0</v>
      </c>
      <c r="C39" s="5">
        <f>+final_results!C39-Raw_Financials!C39</f>
        <v>0</v>
      </c>
      <c r="D39" s="5">
        <f>+final_results!D39-Raw_Financials!D39</f>
        <v>0</v>
      </c>
      <c r="E39" s="5">
        <f>+final_results!E39-Raw_Financials!E39</f>
        <v>0</v>
      </c>
      <c r="F39" s="5">
        <f>+final_results!F39-Raw_Financials!F39</f>
        <v>0</v>
      </c>
      <c r="G39" s="5">
        <f>+final_results!G39-Raw_Financials!G39</f>
        <v>0</v>
      </c>
      <c r="H39" s="5">
        <f>+final_results!H39-Raw_Financials!H39</f>
        <v>0</v>
      </c>
      <c r="I39" s="5">
        <f>+final_results!I39-Raw_Financials!I39</f>
        <v>0</v>
      </c>
      <c r="J39" s="5">
        <f>+final_results!J39-Raw_Financials!J39</f>
        <v>0</v>
      </c>
      <c r="K39" s="5">
        <f>+final_results!K39-Raw_Financials!K39</f>
        <v>0</v>
      </c>
    </row>
    <row r="40" spans="1:14" ht="18">
      <c r="A40" s="6" t="s">
        <v>38</v>
      </c>
      <c r="B40" s="5">
        <f>+final_results!B40-Raw_Financials!B40</f>
        <v>0</v>
      </c>
      <c r="C40" s="5">
        <f>+final_results!C40-Raw_Financials!C40</f>
        <v>0</v>
      </c>
      <c r="D40" s="5">
        <f>+final_results!D40-Raw_Financials!D40</f>
        <v>0</v>
      </c>
      <c r="E40" s="5">
        <f>+final_results!E40-Raw_Financials!E40</f>
        <v>0</v>
      </c>
      <c r="F40" s="5">
        <f>+final_results!F40-Raw_Financials!F40</f>
        <v>0</v>
      </c>
      <c r="G40" s="5">
        <f>+final_results!G40-Raw_Financials!G40</f>
        <v>0</v>
      </c>
      <c r="H40" s="5">
        <f>+final_results!H40-Raw_Financials!H40</f>
        <v>0</v>
      </c>
      <c r="I40" s="5">
        <f>+final_results!I40-Raw_Financials!I40</f>
        <v>0</v>
      </c>
      <c r="J40" s="5">
        <f>+final_results!J40-Raw_Financials!J40</f>
        <v>0</v>
      </c>
      <c r="K40" s="5">
        <f>+final_results!K40-Raw_Financials!K40</f>
        <v>0</v>
      </c>
      <c r="M40" s="28" t="s">
        <v>245</v>
      </c>
    </row>
    <row r="41" spans="1:14">
      <c r="A41" s="5" t="s">
        <v>39</v>
      </c>
      <c r="B41" s="5">
        <f>+final_results!B41-Raw_Financials!B41</f>
        <v>0</v>
      </c>
      <c r="C41" s="5">
        <f>+final_results!C41-Raw_Financials!C41</f>
        <v>0</v>
      </c>
      <c r="D41" s="5">
        <f>+final_results!D41-Raw_Financials!D41</f>
        <v>0</v>
      </c>
      <c r="E41" s="5">
        <f>+final_results!E41-Raw_Financials!E41</f>
        <v>0</v>
      </c>
      <c r="F41" s="5">
        <f>+final_results!F41-Raw_Financials!F41</f>
        <v>0</v>
      </c>
      <c r="G41" s="5">
        <f>+final_results!G41-Raw_Financials!G41</f>
        <v>0</v>
      </c>
      <c r="H41" s="5">
        <f>+final_results!H41-Raw_Financials!H41</f>
        <v>0</v>
      </c>
      <c r="I41" s="5">
        <f>+final_results!I41-Raw_Financials!I41</f>
        <v>0</v>
      </c>
      <c r="J41" s="5">
        <f>+final_results!J41-Raw_Financials!J41</f>
        <v>0</v>
      </c>
      <c r="K41" s="5">
        <f>+final_results!K41-Raw_Financials!K41</f>
        <v>0</v>
      </c>
    </row>
    <row r="42" spans="1:14">
      <c r="A42" s="6" t="s">
        <v>40</v>
      </c>
      <c r="B42" s="5">
        <f>+final_results!B42-Raw_Financials!B42</f>
        <v>0</v>
      </c>
      <c r="C42" s="5">
        <f>+final_results!C42-Raw_Financials!C42</f>
        <v>0</v>
      </c>
      <c r="D42" s="5">
        <f>+final_results!D42-Raw_Financials!D42</f>
        <v>0</v>
      </c>
      <c r="E42" s="5">
        <f>+final_results!E42-Raw_Financials!E42</f>
        <v>0</v>
      </c>
      <c r="F42" s="5">
        <f>+final_results!F42-Raw_Financials!F42</f>
        <v>-93.813960878832248</v>
      </c>
      <c r="G42" s="5">
        <f>+final_results!G42-Raw_Financials!G42</f>
        <v>0</v>
      </c>
      <c r="H42" s="5">
        <f>+final_results!H42-Raw_Financials!H42</f>
        <v>-0.94673469018756795</v>
      </c>
      <c r="I42" s="5">
        <f>+final_results!I42-Raw_Financials!I42</f>
        <v>0</v>
      </c>
      <c r="J42" s="5">
        <f>+final_results!J42-Raw_Financials!J42</f>
        <v>0</v>
      </c>
      <c r="K42" s="5">
        <f>+final_results!K42-Raw_Financials!K42</f>
        <v>0</v>
      </c>
      <c r="M42" s="29" t="s">
        <v>246</v>
      </c>
    </row>
    <row r="43" spans="1:14">
      <c r="A43" s="5" t="s">
        <v>41</v>
      </c>
      <c r="B43" s="5">
        <f>+final_results!B43-Raw_Financials!B43</f>
        <v>0</v>
      </c>
      <c r="C43" s="5">
        <f>+final_results!C43-Raw_Financials!C43</f>
        <v>0</v>
      </c>
      <c r="D43" s="5">
        <f>+final_results!D43-Raw_Financials!D43</f>
        <v>0</v>
      </c>
      <c r="E43" s="5">
        <f>+final_results!E43-Raw_Financials!E43</f>
        <v>0</v>
      </c>
      <c r="F43" s="5">
        <f>+final_results!F43-Raw_Financials!F43</f>
        <v>0</v>
      </c>
      <c r="G43" s="5">
        <f>+final_results!G43-Raw_Financials!G43</f>
        <v>0</v>
      </c>
      <c r="H43" s="5">
        <f>+final_results!H43-Raw_Financials!H43</f>
        <v>0</v>
      </c>
      <c r="I43" s="5">
        <f>+final_results!I43-Raw_Financials!I43</f>
        <v>0</v>
      </c>
      <c r="J43" s="5">
        <f>+final_results!J43-Raw_Financials!J43</f>
        <v>0</v>
      </c>
      <c r="K43" s="5">
        <f>+final_results!K43-Raw_Financials!K43</f>
        <v>0</v>
      </c>
    </row>
    <row r="44" spans="1:14">
      <c r="A44" s="6" t="s">
        <v>42</v>
      </c>
      <c r="B44" s="5">
        <f>+final_results!B44-Raw_Financials!B44</f>
        <v>0</v>
      </c>
      <c r="C44" s="5">
        <f>+final_results!C44-Raw_Financials!C44</f>
        <v>0</v>
      </c>
      <c r="D44" s="5">
        <f>+final_results!D44-Raw_Financials!D44</f>
        <v>0</v>
      </c>
      <c r="E44" s="5">
        <f>+final_results!E44-Raw_Financials!E44</f>
        <v>0</v>
      </c>
      <c r="F44" s="5">
        <f>+final_results!F44-Raw_Financials!F44</f>
        <v>0</v>
      </c>
      <c r="G44" s="5">
        <f>+final_results!G44-Raw_Financials!G44</f>
        <v>0</v>
      </c>
      <c r="H44" s="5">
        <f>+final_results!H44-Raw_Financials!H44</f>
        <v>0</v>
      </c>
      <c r="I44" s="5">
        <f>+final_results!I44-Raw_Financials!I44</f>
        <v>0</v>
      </c>
      <c r="J44" s="5">
        <f>+final_results!J44-Raw_Financials!J44</f>
        <v>0</v>
      </c>
      <c r="K44" s="5">
        <f>+final_results!K44-Raw_Financials!K44</f>
        <v>0</v>
      </c>
      <c r="M44" s="29" t="s">
        <v>247</v>
      </c>
    </row>
    <row r="45" spans="1:14">
      <c r="A45" s="5" t="s">
        <v>43</v>
      </c>
      <c r="B45" s="5">
        <f>+final_results!B45-Raw_Financials!B45</f>
        <v>0</v>
      </c>
      <c r="C45" s="5">
        <f>+final_results!C45-Raw_Financials!C45</f>
        <v>0</v>
      </c>
      <c r="D45" s="5">
        <f>+final_results!D45-Raw_Financials!D45</f>
        <v>0</v>
      </c>
      <c r="E45" s="5">
        <f>+final_results!E45-Raw_Financials!E45</f>
        <v>0</v>
      </c>
      <c r="F45" s="5">
        <f>+final_results!F45-Raw_Financials!F45</f>
        <v>0</v>
      </c>
      <c r="G45" s="5">
        <f>+final_results!G45-Raw_Financials!G45</f>
        <v>0</v>
      </c>
      <c r="H45" s="5">
        <f>+final_results!H45-Raw_Financials!H45</f>
        <v>0</v>
      </c>
      <c r="I45" s="5">
        <f>+final_results!I45-Raw_Financials!I45</f>
        <v>0</v>
      </c>
      <c r="J45" s="5">
        <f>+final_results!J45-Raw_Financials!J45</f>
        <v>0</v>
      </c>
      <c r="K45" s="5">
        <f>+final_results!K45-Raw_Financials!K45</f>
        <v>0</v>
      </c>
    </row>
    <row r="46" spans="1:14">
      <c r="A46" s="6" t="s">
        <v>44</v>
      </c>
      <c r="B46" s="5">
        <f>+final_results!B46-Raw_Financials!B46</f>
        <v>0</v>
      </c>
      <c r="C46" s="5">
        <f>+final_results!C46-Raw_Financials!C46</f>
        <v>0</v>
      </c>
      <c r="D46" s="5">
        <f>+final_results!D46-Raw_Financials!D46</f>
        <v>0</v>
      </c>
      <c r="E46" s="5">
        <f>+final_results!E46-Raw_Financials!E46</f>
        <v>0</v>
      </c>
      <c r="F46" s="5">
        <f>+final_results!F46-Raw_Financials!F46</f>
        <v>0</v>
      </c>
      <c r="G46" s="5">
        <f>+final_results!G46-Raw_Financials!G46</f>
        <v>0</v>
      </c>
      <c r="H46" s="5">
        <f>+final_results!H46-Raw_Financials!H46</f>
        <v>0</v>
      </c>
      <c r="I46" s="5">
        <f>+final_results!I46-Raw_Financials!I46</f>
        <v>0</v>
      </c>
      <c r="J46" s="5">
        <f>+final_results!J46-Raw_Financials!J46</f>
        <v>0</v>
      </c>
      <c r="K46" s="5">
        <f>+final_results!K46-Raw_Financials!K46</f>
        <v>0</v>
      </c>
      <c r="M46" s="29" t="s">
        <v>248</v>
      </c>
    </row>
    <row r="47" spans="1:14">
      <c r="A47" s="5" t="s">
        <v>45</v>
      </c>
      <c r="B47" s="5">
        <f>+final_results!B47-Raw_Financials!B47</f>
        <v>0</v>
      </c>
      <c r="C47" s="5">
        <f>+final_results!C47-Raw_Financials!C47</f>
        <v>0</v>
      </c>
      <c r="D47" s="5">
        <f>+final_results!D47-Raw_Financials!D47</f>
        <v>0</v>
      </c>
      <c r="E47" s="5">
        <f>+final_results!E47-Raw_Financials!E47</f>
        <v>0</v>
      </c>
      <c r="F47" s="5">
        <f>+final_results!F47-Raw_Financials!F47</f>
        <v>0</v>
      </c>
      <c r="G47" s="5">
        <f>+final_results!G47-Raw_Financials!G47</f>
        <v>0</v>
      </c>
      <c r="H47" s="5">
        <f>+final_results!H47-Raw_Financials!H47</f>
        <v>0</v>
      </c>
      <c r="I47" s="5">
        <f>+final_results!I47-Raw_Financials!I47</f>
        <v>0</v>
      </c>
      <c r="J47" s="5">
        <f>+final_results!J47-Raw_Financials!J47</f>
        <v>0</v>
      </c>
      <c r="K47" s="5">
        <f>+final_results!K47-Raw_Financials!K47</f>
        <v>0</v>
      </c>
    </row>
    <row r="48" spans="1:14">
      <c r="A48" s="6" t="s">
        <v>46</v>
      </c>
      <c r="B48" s="5">
        <f>+final_results!B48-Raw_Financials!B48</f>
        <v>0</v>
      </c>
      <c r="C48" s="5">
        <f>+final_results!C48-Raw_Financials!C48</f>
        <v>0</v>
      </c>
      <c r="D48" s="5">
        <f>+final_results!D48-Raw_Financials!D48</f>
        <v>0</v>
      </c>
      <c r="E48" s="5">
        <f>+final_results!E48-Raw_Financials!E48</f>
        <v>0</v>
      </c>
      <c r="F48" s="5">
        <f>+final_results!F48-Raw_Financials!F48</f>
        <v>0</v>
      </c>
      <c r="G48" s="5">
        <f>+final_results!G48-Raw_Financials!G48</f>
        <v>0</v>
      </c>
      <c r="H48" s="5">
        <f>+final_results!H48-Raw_Financials!H48</f>
        <v>0</v>
      </c>
      <c r="I48" s="5">
        <f>+final_results!I48-Raw_Financials!I48</f>
        <v>0</v>
      </c>
      <c r="J48" s="5">
        <f>+final_results!J48-Raw_Financials!J48</f>
        <v>0</v>
      </c>
      <c r="K48" s="5">
        <f>+final_results!K48-Raw_Financials!K48</f>
        <v>0</v>
      </c>
      <c r="M48" s="29" t="s">
        <v>249</v>
      </c>
    </row>
    <row r="49" spans="1:13">
      <c r="A49" s="5" t="s">
        <v>47</v>
      </c>
      <c r="B49" s="5">
        <f>+final_results!B49-Raw_Financials!B49</f>
        <v>0</v>
      </c>
      <c r="C49" s="5">
        <f>+final_results!C49-Raw_Financials!C49</f>
        <v>0</v>
      </c>
      <c r="D49" s="5">
        <f>+final_results!D49-Raw_Financials!D49</f>
        <v>0</v>
      </c>
      <c r="E49" s="5">
        <f>+final_results!E49-Raw_Financials!E49</f>
        <v>0</v>
      </c>
      <c r="F49" s="5">
        <f>+final_results!F49-Raw_Financials!F49</f>
        <v>0</v>
      </c>
      <c r="G49" s="5">
        <f>+final_results!G49-Raw_Financials!G49</f>
        <v>0</v>
      </c>
      <c r="H49" s="5">
        <f>+final_results!H49-Raw_Financials!H49</f>
        <v>0</v>
      </c>
      <c r="I49" s="5">
        <f>+final_results!I49-Raw_Financials!I49</f>
        <v>0</v>
      </c>
      <c r="J49" s="5">
        <f>+final_results!J49-Raw_Financials!J49</f>
        <v>0</v>
      </c>
      <c r="K49" s="5">
        <f>+final_results!K49-Raw_Financials!K49</f>
        <v>0</v>
      </c>
    </row>
    <row r="50" spans="1:13">
      <c r="A50" s="6" t="s">
        <v>48</v>
      </c>
      <c r="B50" s="5">
        <f>+final_results!B50-Raw_Financials!B50</f>
        <v>0</v>
      </c>
      <c r="C50" s="5">
        <f>+final_results!C50-Raw_Financials!C50</f>
        <v>0</v>
      </c>
      <c r="D50" s="5">
        <f>+final_results!D50-Raw_Financials!D50</f>
        <v>0</v>
      </c>
      <c r="E50" s="5">
        <f>+final_results!E50-Raw_Financials!E50</f>
        <v>0</v>
      </c>
      <c r="F50" s="5">
        <f>+final_results!F50-Raw_Financials!F50</f>
        <v>0</v>
      </c>
      <c r="G50" s="5">
        <f>+final_results!G50-Raw_Financials!G50</f>
        <v>0</v>
      </c>
      <c r="H50" s="5">
        <f>+final_results!H50-Raw_Financials!H50</f>
        <v>0</v>
      </c>
      <c r="I50" s="5">
        <f>+final_results!I50-Raw_Financials!I50</f>
        <v>0</v>
      </c>
      <c r="J50" s="5">
        <f>+final_results!J50-Raw_Financials!J50</f>
        <v>0</v>
      </c>
      <c r="K50" s="5">
        <f>+final_results!K50-Raw_Financials!K50</f>
        <v>0</v>
      </c>
      <c r="M50" s="29" t="s">
        <v>250</v>
      </c>
    </row>
    <row r="51" spans="1:13">
      <c r="A51" s="5" t="s">
        <v>49</v>
      </c>
      <c r="B51" s="5">
        <f>+final_results!B51-Raw_Financials!B51</f>
        <v>0</v>
      </c>
      <c r="C51" s="5">
        <f>+final_results!C51-Raw_Financials!C51</f>
        <v>0</v>
      </c>
      <c r="D51" s="5">
        <f>+final_results!D51-Raw_Financials!D51</f>
        <v>0</v>
      </c>
      <c r="E51" s="5">
        <f>+final_results!E51-Raw_Financials!E51</f>
        <v>0</v>
      </c>
      <c r="F51" s="5">
        <f>+final_results!F51-Raw_Financials!F51</f>
        <v>0</v>
      </c>
      <c r="G51" s="5">
        <f>+final_results!G51-Raw_Financials!G51</f>
        <v>0</v>
      </c>
      <c r="H51" s="5">
        <f>+final_results!H51-Raw_Financials!H51</f>
        <v>0</v>
      </c>
      <c r="I51" s="5">
        <f>+final_results!I51-Raw_Financials!I51</f>
        <v>0</v>
      </c>
      <c r="J51" s="5">
        <f>+final_results!J51-Raw_Financials!J51</f>
        <v>0</v>
      </c>
      <c r="K51" s="5">
        <f>+final_results!K51-Raw_Financials!K51</f>
        <v>0</v>
      </c>
    </row>
    <row r="52" spans="1:13">
      <c r="A52" s="6" t="s">
        <v>50</v>
      </c>
      <c r="B52" s="5">
        <f>+final_results!B52-Raw_Financials!B52</f>
        <v>0</v>
      </c>
      <c r="C52" s="5">
        <f>+final_results!C52-Raw_Financials!C52</f>
        <v>0</v>
      </c>
      <c r="D52" s="5">
        <f>+final_results!D52-Raw_Financials!D52</f>
        <v>0</v>
      </c>
      <c r="E52" s="5">
        <f>+final_results!E52-Raw_Financials!E52</f>
        <v>0</v>
      </c>
      <c r="F52" s="5">
        <f>+final_results!F52-Raw_Financials!F52</f>
        <v>0</v>
      </c>
      <c r="G52" s="5">
        <f>+final_results!G52-Raw_Financials!G52</f>
        <v>0</v>
      </c>
      <c r="H52" s="5">
        <f>+final_results!H52-Raw_Financials!H52</f>
        <v>0</v>
      </c>
      <c r="I52" s="5">
        <f>+final_results!I52-Raw_Financials!I52</f>
        <v>0</v>
      </c>
      <c r="J52" s="5">
        <f>+final_results!J52-Raw_Financials!J52</f>
        <v>-37001.661279866181</v>
      </c>
      <c r="K52" s="5">
        <f>+final_results!K52-Raw_Financials!K52</f>
        <v>0</v>
      </c>
      <c r="M52" s="29" t="s">
        <v>251</v>
      </c>
    </row>
    <row r="53" spans="1:13">
      <c r="A53" s="5" t="s">
        <v>51</v>
      </c>
      <c r="B53" s="5">
        <f>+final_results!B53-Raw_Financials!B53</f>
        <v>0</v>
      </c>
      <c r="C53" s="5">
        <f>+final_results!C53-Raw_Financials!C53</f>
        <v>0</v>
      </c>
      <c r="D53" s="5">
        <f>+final_results!D53-Raw_Financials!D53</f>
        <v>0</v>
      </c>
      <c r="E53" s="5">
        <f>+final_results!E53-Raw_Financials!E53</f>
        <v>0</v>
      </c>
      <c r="F53" s="5">
        <f>+final_results!F53-Raw_Financials!F53</f>
        <v>0</v>
      </c>
      <c r="G53" s="5">
        <f>+final_results!G53-Raw_Financials!G53</f>
        <v>0</v>
      </c>
      <c r="H53" s="5">
        <f>+final_results!H53-Raw_Financials!H53</f>
        <v>0</v>
      </c>
      <c r="I53" s="5">
        <f>+final_results!I53-Raw_Financials!I53</f>
        <v>0</v>
      </c>
      <c r="J53" s="5">
        <f>+final_results!J53-Raw_Financials!J53</f>
        <v>-69072.257281889149</v>
      </c>
      <c r="K53" s="5">
        <f>+final_results!K53-Raw_Financials!K53</f>
        <v>0</v>
      </c>
    </row>
    <row r="54" spans="1:13">
      <c r="A54" s="6" t="s">
        <v>52</v>
      </c>
      <c r="B54" s="5">
        <f>+final_results!B54-Raw_Financials!B54</f>
        <v>0</v>
      </c>
      <c r="C54" s="5">
        <f>+final_results!C54-Raw_Financials!C54</f>
        <v>0</v>
      </c>
      <c r="D54" s="5">
        <f>+final_results!D54-Raw_Financials!D54</f>
        <v>0</v>
      </c>
      <c r="E54" s="5">
        <f>+final_results!E54-Raw_Financials!E54</f>
        <v>0</v>
      </c>
      <c r="F54" s="5">
        <f>+final_results!F54-Raw_Financials!F54</f>
        <v>0</v>
      </c>
      <c r="G54" s="5">
        <f>+final_results!G54-Raw_Financials!G54</f>
        <v>0</v>
      </c>
      <c r="H54" s="5">
        <f>+final_results!H54-Raw_Financials!H54</f>
        <v>0</v>
      </c>
      <c r="I54" s="5">
        <f>+final_results!I54-Raw_Financials!I54</f>
        <v>0</v>
      </c>
      <c r="J54" s="5">
        <f>+final_results!J54-Raw_Financials!J54</f>
        <v>0</v>
      </c>
      <c r="K54" s="5">
        <f>+final_results!K54-Raw_Financials!K54</f>
        <v>0</v>
      </c>
    </row>
    <row r="55" spans="1:13">
      <c r="A55" s="5" t="s">
        <v>53</v>
      </c>
      <c r="B55" s="5">
        <f>+final_results!B55-Raw_Financials!B55</f>
        <v>0</v>
      </c>
      <c r="C55" s="5">
        <f>+final_results!C55-Raw_Financials!C55</f>
        <v>0</v>
      </c>
      <c r="D55" s="5">
        <f>+final_results!D55-Raw_Financials!D55</f>
        <v>0</v>
      </c>
      <c r="E55" s="5">
        <f>+final_results!E55-Raw_Financials!E55</f>
        <v>0</v>
      </c>
      <c r="F55" s="5">
        <f>+final_results!F55-Raw_Financials!F55</f>
        <v>0</v>
      </c>
      <c r="G55" s="5">
        <f>+final_results!G55-Raw_Financials!G55</f>
        <v>0</v>
      </c>
      <c r="H55" s="5">
        <f>+final_results!H55-Raw_Financials!H55</f>
        <v>0</v>
      </c>
      <c r="I55" s="5">
        <f>+final_results!I55-Raw_Financials!I55</f>
        <v>-16913.853322003502</v>
      </c>
      <c r="J55" s="5">
        <f>+final_results!J55-Raw_Financials!J55</f>
        <v>0</v>
      </c>
      <c r="K55" s="5">
        <f>+final_results!K55-Raw_Financials!K55</f>
        <v>0</v>
      </c>
    </row>
    <row r="56" spans="1:13">
      <c r="A56" s="7" t="s">
        <v>54</v>
      </c>
      <c r="B56" s="5">
        <f>+final_results!B56-Raw_Financials!B56</f>
        <v>0</v>
      </c>
      <c r="C56" s="5">
        <f>+final_results!C56-Raw_Financials!C56</f>
        <v>0</v>
      </c>
      <c r="D56" s="5">
        <f>+final_results!D56-Raw_Financials!D56</f>
        <v>0</v>
      </c>
      <c r="E56" s="5">
        <f>+final_results!E56-Raw_Financials!E56</f>
        <v>0</v>
      </c>
      <c r="F56" s="5">
        <f>+final_results!F56-Raw_Financials!F56</f>
        <v>0</v>
      </c>
      <c r="G56" s="5">
        <f>+final_results!G56-Raw_Financials!G56</f>
        <v>0</v>
      </c>
      <c r="H56" s="5">
        <f>+final_results!H56-Raw_Financials!H56</f>
        <v>0</v>
      </c>
      <c r="I56" s="5">
        <f>+final_results!I56-Raw_Financials!I56</f>
        <v>0</v>
      </c>
      <c r="J56" s="5">
        <f>+final_results!J56-Raw_Financials!J56</f>
        <v>0</v>
      </c>
      <c r="K56" s="5">
        <f>+final_results!K56-Raw_Financials!K56</f>
        <v>0</v>
      </c>
    </row>
    <row r="57" spans="1:13">
      <c r="A57" s="5" t="s">
        <v>55</v>
      </c>
      <c r="B57" s="5">
        <f>+final_results!B57-Raw_Financials!B57</f>
        <v>0</v>
      </c>
      <c r="C57" s="5">
        <f>+final_results!C57-Raw_Financials!C57</f>
        <v>0</v>
      </c>
      <c r="D57" s="5">
        <f>+final_results!D57-Raw_Financials!D57</f>
        <v>0</v>
      </c>
      <c r="E57" s="5">
        <f>+final_results!E57-Raw_Financials!E57</f>
        <v>0</v>
      </c>
      <c r="F57" s="5">
        <f>+final_results!F57-Raw_Financials!F57</f>
        <v>0</v>
      </c>
      <c r="G57" s="5">
        <f>+final_results!G57-Raw_Financials!G57</f>
        <v>0</v>
      </c>
      <c r="H57" s="5">
        <f>+final_results!H57-Raw_Financials!H57</f>
        <v>0</v>
      </c>
      <c r="I57" s="5">
        <f>+final_results!I57-Raw_Financials!I57</f>
        <v>0</v>
      </c>
      <c r="J57" s="5">
        <f>+final_results!J57-Raw_Financials!J57</f>
        <v>0</v>
      </c>
      <c r="K57" s="5">
        <f>+final_results!K57-Raw_Financials!K57</f>
        <v>0</v>
      </c>
    </row>
    <row r="58" spans="1:13">
      <c r="A58" s="6" t="s">
        <v>56</v>
      </c>
      <c r="B58" s="5">
        <f>+final_results!B58-Raw_Financials!B58</f>
        <v>0</v>
      </c>
      <c r="C58" s="5">
        <f>+final_results!C58-Raw_Financials!C58</f>
        <v>0</v>
      </c>
      <c r="D58" s="5">
        <f>+final_results!D58-Raw_Financials!D58</f>
        <v>0</v>
      </c>
      <c r="E58" s="5">
        <f>+final_results!E58-Raw_Financials!E58</f>
        <v>0</v>
      </c>
      <c r="F58" s="5">
        <f>+final_results!F58-Raw_Financials!F58</f>
        <v>0</v>
      </c>
      <c r="G58" s="5">
        <f>+final_results!G58-Raw_Financials!G58</f>
        <v>0</v>
      </c>
      <c r="H58" s="5">
        <f>+final_results!H58-Raw_Financials!H58</f>
        <v>0</v>
      </c>
      <c r="I58" s="5">
        <f>+final_results!I58-Raw_Financials!I58</f>
        <v>-77608.135999999999</v>
      </c>
      <c r="J58" s="5">
        <f>+final_results!J58-Raw_Financials!J58</f>
        <v>-39712.709000000003</v>
      </c>
      <c r="K58" s="5">
        <f>+final_results!K58-Raw_Financials!K58</f>
        <v>0</v>
      </c>
    </row>
    <row r="59" spans="1:13">
      <c r="A59" s="5" t="s">
        <v>57</v>
      </c>
      <c r="B59" s="5">
        <f>+final_results!B59-Raw_Financials!B59</f>
        <v>0</v>
      </c>
      <c r="C59" s="5">
        <f>+final_results!C59-Raw_Financials!C59</f>
        <v>0</v>
      </c>
      <c r="D59" s="5">
        <f>+final_results!D59-Raw_Financials!D59</f>
        <v>-1171.9870000000001</v>
      </c>
      <c r="E59" s="5">
        <f>+final_results!E59-Raw_Financials!E59</f>
        <v>0</v>
      </c>
      <c r="F59" s="5">
        <f>+final_results!F59-Raw_Financials!F59</f>
        <v>0</v>
      </c>
      <c r="G59" s="5">
        <f>+final_results!G59-Raw_Financials!G59</f>
        <v>0</v>
      </c>
      <c r="H59" s="5">
        <f>+final_results!H59-Raw_Financials!H59</f>
        <v>0</v>
      </c>
      <c r="I59" s="5">
        <f>+final_results!I59-Raw_Financials!I59</f>
        <v>0</v>
      </c>
      <c r="J59" s="5">
        <f>+final_results!J59-Raw_Financials!J59</f>
        <v>0</v>
      </c>
      <c r="K59" s="5">
        <f>+final_results!K59-Raw_Financials!K59</f>
        <v>0</v>
      </c>
    </row>
    <row r="60" spans="1:13">
      <c r="A60" s="6" t="s">
        <v>58</v>
      </c>
      <c r="B60" s="5">
        <f>+final_results!B60-Raw_Financials!B60</f>
        <v>0</v>
      </c>
      <c r="C60" s="5">
        <f>+final_results!C60-Raw_Financials!C60</f>
        <v>0</v>
      </c>
      <c r="D60" s="5">
        <f>+final_results!D60-Raw_Financials!D60</f>
        <v>0</v>
      </c>
      <c r="E60" s="5">
        <f>+final_results!E60-Raw_Financials!E60</f>
        <v>0</v>
      </c>
      <c r="F60" s="5">
        <f>+final_results!F60-Raw_Financials!F60</f>
        <v>0</v>
      </c>
      <c r="G60" s="5">
        <f>+final_results!G60-Raw_Financials!G60</f>
        <v>0</v>
      </c>
      <c r="H60" s="5">
        <f>+final_results!H60-Raw_Financials!H60</f>
        <v>0</v>
      </c>
      <c r="I60" s="5">
        <f>+final_results!I60-Raw_Financials!I60</f>
        <v>0</v>
      </c>
      <c r="J60" s="5">
        <f>+final_results!J60-Raw_Financials!J60</f>
        <v>0</v>
      </c>
      <c r="K60" s="5">
        <f>+final_results!K60-Raw_Financials!K60</f>
        <v>0</v>
      </c>
    </row>
    <row r="61" spans="1:13">
      <c r="A61" s="5" t="s">
        <v>59</v>
      </c>
      <c r="B61" s="5">
        <f>+final_results!B61-Raw_Financials!B61</f>
        <v>0</v>
      </c>
      <c r="C61" s="5">
        <f>+final_results!C61-Raw_Financials!C61</f>
        <v>0</v>
      </c>
      <c r="D61" s="5">
        <f>+final_results!D61-Raw_Financials!D61</f>
        <v>0</v>
      </c>
      <c r="E61" s="5">
        <f>+final_results!E61-Raw_Financials!E61</f>
        <v>0</v>
      </c>
      <c r="F61" s="5">
        <f>+final_results!F61-Raw_Financials!F61</f>
        <v>0</v>
      </c>
      <c r="G61" s="5">
        <f>+final_results!G61-Raw_Financials!G61</f>
        <v>0</v>
      </c>
      <c r="H61" s="5">
        <f>+final_results!H61-Raw_Financials!H61</f>
        <v>0</v>
      </c>
      <c r="I61" s="5">
        <f>+final_results!I61-Raw_Financials!I61</f>
        <v>0</v>
      </c>
      <c r="J61" s="5">
        <f>+final_results!J61-Raw_Financials!J61</f>
        <v>0</v>
      </c>
      <c r="K61" s="5">
        <f>+final_results!K61-Raw_Financials!K61</f>
        <v>0</v>
      </c>
    </row>
    <row r="62" spans="1:13">
      <c r="A62" s="6" t="s">
        <v>60</v>
      </c>
      <c r="B62" s="5">
        <f>+final_results!B62-Raw_Financials!B62</f>
        <v>0</v>
      </c>
      <c r="C62" s="5">
        <f>+final_results!C62-Raw_Financials!C62</f>
        <v>0</v>
      </c>
      <c r="D62" s="5">
        <f>+final_results!D62-Raw_Financials!D62</f>
        <v>0</v>
      </c>
      <c r="E62" s="5">
        <f>+final_results!E62-Raw_Financials!E62</f>
        <v>0</v>
      </c>
      <c r="F62" s="5">
        <f>+final_results!F62-Raw_Financials!F62</f>
        <v>0</v>
      </c>
      <c r="G62" s="5">
        <f>+final_results!G62-Raw_Financials!G62</f>
        <v>0</v>
      </c>
      <c r="H62" s="5">
        <f>+final_results!H62-Raw_Financials!H62</f>
        <v>0</v>
      </c>
      <c r="I62" s="5">
        <f>+final_results!I62-Raw_Financials!I62</f>
        <v>0</v>
      </c>
      <c r="J62" s="5">
        <f>+final_results!J62-Raw_Financials!J62</f>
        <v>0</v>
      </c>
      <c r="K62" s="5">
        <f>+final_results!K62-Raw_Financials!K62</f>
        <v>0</v>
      </c>
    </row>
    <row r="63" spans="1:13">
      <c r="A63" s="5" t="s">
        <v>61</v>
      </c>
      <c r="B63" s="5">
        <f>+final_results!B63-Raw_Financials!B63</f>
        <v>0</v>
      </c>
      <c r="C63" s="5">
        <f>+final_results!C63-Raw_Financials!C63</f>
        <v>0</v>
      </c>
      <c r="D63" s="5">
        <f>+final_results!D63-Raw_Financials!D63</f>
        <v>0</v>
      </c>
      <c r="E63" s="5">
        <f>+final_results!E63-Raw_Financials!E63</f>
        <v>0</v>
      </c>
      <c r="F63" s="5">
        <f>+final_results!F63-Raw_Financials!F63</f>
        <v>0</v>
      </c>
      <c r="G63" s="5">
        <f>+final_results!G63-Raw_Financials!G63</f>
        <v>0</v>
      </c>
      <c r="H63" s="5">
        <f>+final_results!H63-Raw_Financials!H63</f>
        <v>0</v>
      </c>
      <c r="I63" s="5">
        <f>+final_results!I63-Raw_Financials!I63</f>
        <v>0</v>
      </c>
      <c r="J63" s="5">
        <f>+final_results!J63-Raw_Financials!J63</f>
        <v>0</v>
      </c>
      <c r="K63" s="5">
        <f>+final_results!K63-Raw_Financials!K63</f>
        <v>0</v>
      </c>
    </row>
    <row r="64" spans="1:13">
      <c r="A64" s="6" t="s">
        <v>62</v>
      </c>
      <c r="B64" s="5">
        <f>+final_results!B64-Raw_Financials!B64</f>
        <v>-60591.212</v>
      </c>
      <c r="C64" s="5">
        <f>+final_results!C64-Raw_Financials!C64</f>
        <v>0</v>
      </c>
      <c r="D64" s="5">
        <f>+final_results!D64-Raw_Financials!D64</f>
        <v>0</v>
      </c>
      <c r="E64" s="5">
        <f>+final_results!E64-Raw_Financials!E64</f>
        <v>0</v>
      </c>
      <c r="F64" s="5">
        <f>+final_results!F64-Raw_Financials!F64</f>
        <v>0</v>
      </c>
      <c r="G64" s="5">
        <f>+final_results!G64-Raw_Financials!G64</f>
        <v>0</v>
      </c>
      <c r="H64" s="5">
        <f>+final_results!H64-Raw_Financials!H64</f>
        <v>0</v>
      </c>
      <c r="I64" s="5">
        <f>+final_results!I64-Raw_Financials!I64</f>
        <v>0</v>
      </c>
      <c r="J64" s="5">
        <f>+final_results!J64-Raw_Financials!J64</f>
        <v>0</v>
      </c>
      <c r="K64" s="5">
        <f>+final_results!K64-Raw_Financials!K64</f>
        <v>0</v>
      </c>
    </row>
    <row r="65" spans="1:11">
      <c r="A65" s="5" t="s">
        <v>63</v>
      </c>
      <c r="B65" s="5">
        <f>+final_results!B65-Raw_Financials!B65</f>
        <v>0</v>
      </c>
      <c r="C65" s="5">
        <f>+final_results!C65-Raw_Financials!C65</f>
        <v>0</v>
      </c>
      <c r="D65" s="5">
        <f>+final_results!D65-Raw_Financials!D65</f>
        <v>0</v>
      </c>
      <c r="E65" s="5">
        <f>+final_results!E65-Raw_Financials!E65</f>
        <v>0</v>
      </c>
      <c r="F65" s="5">
        <f>+final_results!F65-Raw_Financials!F65</f>
        <v>0</v>
      </c>
      <c r="G65" s="5">
        <f>+final_results!G65-Raw_Financials!G65</f>
        <v>0</v>
      </c>
      <c r="H65" s="5">
        <f>+final_results!H65-Raw_Financials!H65</f>
        <v>0</v>
      </c>
      <c r="I65" s="5">
        <f>+final_results!I65-Raw_Financials!I65</f>
        <v>0</v>
      </c>
      <c r="J65" s="5">
        <f>+final_results!J65-Raw_Financials!J65</f>
        <v>0</v>
      </c>
      <c r="K65" s="5">
        <f>+final_results!K65-Raw_Financials!K65</f>
        <v>0</v>
      </c>
    </row>
    <row r="66" spans="1:11">
      <c r="A66" s="6" t="s">
        <v>64</v>
      </c>
      <c r="B66" s="5">
        <f>+final_results!B66-Raw_Financials!B66</f>
        <v>0</v>
      </c>
      <c r="C66" s="5">
        <f>+final_results!C66-Raw_Financials!C66</f>
        <v>0</v>
      </c>
      <c r="D66" s="5">
        <f>+final_results!D66-Raw_Financials!D66</f>
        <v>0</v>
      </c>
      <c r="E66" s="5">
        <f>+final_results!E66-Raw_Financials!E66</f>
        <v>0</v>
      </c>
      <c r="F66" s="5">
        <f>+final_results!F66-Raw_Financials!F66</f>
        <v>0</v>
      </c>
      <c r="G66" s="5">
        <f>+final_results!G66-Raw_Financials!G66</f>
        <v>0</v>
      </c>
      <c r="H66" s="5">
        <f>+final_results!H66-Raw_Financials!H66</f>
        <v>0</v>
      </c>
      <c r="I66" s="5">
        <f>+final_results!I66-Raw_Financials!I66</f>
        <v>0</v>
      </c>
      <c r="J66" s="5">
        <f>+final_results!J66-Raw_Financials!J66</f>
        <v>0</v>
      </c>
      <c r="K66" s="5">
        <f>+final_results!K66-Raw_Financials!K66</f>
        <v>0</v>
      </c>
    </row>
    <row r="67" spans="1:11">
      <c r="A67" s="5" t="s">
        <v>65</v>
      </c>
      <c r="B67" s="5">
        <f>+final_results!B67-Raw_Financials!B67</f>
        <v>0</v>
      </c>
      <c r="C67" s="5">
        <f>+final_results!C67-Raw_Financials!C67</f>
        <v>0</v>
      </c>
      <c r="D67" s="5">
        <f>+final_results!D67-Raw_Financials!D67</f>
        <v>0</v>
      </c>
      <c r="E67" s="5">
        <f>+final_results!E67-Raw_Financials!E67</f>
        <v>0</v>
      </c>
      <c r="F67" s="5">
        <f>+final_results!F67-Raw_Financials!F67</f>
        <v>0</v>
      </c>
      <c r="G67" s="5">
        <f>+final_results!G67-Raw_Financials!G67</f>
        <v>0</v>
      </c>
      <c r="H67" s="5">
        <f>+final_results!H67-Raw_Financials!H67</f>
        <v>0</v>
      </c>
      <c r="I67" s="5">
        <f>+final_results!I67-Raw_Financials!I67</f>
        <v>0</v>
      </c>
      <c r="J67" s="5">
        <f>+final_results!J67-Raw_Financials!J67</f>
        <v>0</v>
      </c>
      <c r="K67" s="5">
        <f>+final_results!K67-Raw_Financials!K67</f>
        <v>0</v>
      </c>
    </row>
    <row r="68" spans="1:11">
      <c r="A68" s="6" t="s">
        <v>66</v>
      </c>
      <c r="B68" s="5">
        <f>+final_results!B68-Raw_Financials!B68</f>
        <v>0</v>
      </c>
      <c r="C68" s="5">
        <f>+final_results!C68-Raw_Financials!C68</f>
        <v>0</v>
      </c>
      <c r="D68" s="5">
        <f>+final_results!D68-Raw_Financials!D68</f>
        <v>0</v>
      </c>
      <c r="E68" s="5">
        <f>+final_results!E68-Raw_Financials!E68</f>
        <v>0</v>
      </c>
      <c r="F68" s="5">
        <f>+final_results!F68-Raw_Financials!F68</f>
        <v>0</v>
      </c>
      <c r="G68" s="5">
        <f>+final_results!G68-Raw_Financials!G68</f>
        <v>0</v>
      </c>
      <c r="H68" s="5">
        <f>+final_results!H68-Raw_Financials!H68</f>
        <v>0</v>
      </c>
      <c r="I68" s="5">
        <f>+final_results!I68-Raw_Financials!I68</f>
        <v>0</v>
      </c>
      <c r="J68" s="5">
        <f>+final_results!J68-Raw_Financials!J68</f>
        <v>0</v>
      </c>
      <c r="K68" s="5">
        <f>+final_results!K68-Raw_Financials!K68</f>
        <v>0</v>
      </c>
    </row>
    <row r="69" spans="1:11">
      <c r="A69" s="5" t="s">
        <v>67</v>
      </c>
      <c r="B69" s="5">
        <f>+final_results!B69-Raw_Financials!B69</f>
        <v>0</v>
      </c>
      <c r="C69" s="5">
        <f>+final_results!C69-Raw_Financials!C69</f>
        <v>0</v>
      </c>
      <c r="D69" s="5">
        <f>+final_results!D69-Raw_Financials!D69</f>
        <v>0</v>
      </c>
      <c r="E69" s="5">
        <f>+final_results!E69-Raw_Financials!E69</f>
        <v>0</v>
      </c>
      <c r="F69" s="5">
        <f>+final_results!F69-Raw_Financials!F69</f>
        <v>0</v>
      </c>
      <c r="G69" s="5">
        <f>+final_results!G69-Raw_Financials!G69</f>
        <v>0</v>
      </c>
      <c r="H69" s="5">
        <f>+final_results!H69-Raw_Financials!H69</f>
        <v>0</v>
      </c>
      <c r="I69" s="5">
        <f>+final_results!I69-Raw_Financials!I69</f>
        <v>0</v>
      </c>
      <c r="J69" s="5">
        <f>+final_results!J69-Raw_Financials!J69</f>
        <v>0</v>
      </c>
      <c r="K69" s="5">
        <f>+final_results!K69-Raw_Financials!K69</f>
        <v>-77236.63084709167</v>
      </c>
    </row>
    <row r="70" spans="1:11">
      <c r="A70" s="6" t="s">
        <v>68</v>
      </c>
      <c r="B70" s="5">
        <f>+final_results!B70-Raw_Financials!B70</f>
        <v>0</v>
      </c>
      <c r="C70" s="5">
        <f>+final_results!C70-Raw_Financials!C70</f>
        <v>0</v>
      </c>
      <c r="D70" s="5">
        <f>+final_results!D70-Raw_Financials!D70</f>
        <v>0</v>
      </c>
      <c r="E70" s="5">
        <f>+final_results!E70-Raw_Financials!E70</f>
        <v>0</v>
      </c>
      <c r="F70" s="5">
        <f>+final_results!F70-Raw_Financials!F70</f>
        <v>0</v>
      </c>
      <c r="G70" s="5">
        <f>+final_results!G70-Raw_Financials!G70</f>
        <v>0</v>
      </c>
      <c r="H70" s="5">
        <f>+final_results!H70-Raw_Financials!H70</f>
        <v>0</v>
      </c>
      <c r="I70" s="5">
        <f>+final_results!I70-Raw_Financials!I70</f>
        <v>0</v>
      </c>
      <c r="J70" s="5">
        <f>+final_results!J70-Raw_Financials!J70</f>
        <v>0</v>
      </c>
      <c r="K70" s="5">
        <f>+final_results!K70-Raw_Financials!K70</f>
        <v>0</v>
      </c>
    </row>
    <row r="71" spans="1:11">
      <c r="A71" s="7" t="s">
        <v>69</v>
      </c>
      <c r="B71" s="5">
        <f>+final_results!B71-Raw_Financials!B71</f>
        <v>0</v>
      </c>
      <c r="C71" s="5">
        <f>+final_results!C71-Raw_Financials!C71</f>
        <v>0</v>
      </c>
      <c r="D71" s="5">
        <f>+final_results!D71-Raw_Financials!D71</f>
        <v>0</v>
      </c>
      <c r="E71" s="5">
        <f>+final_results!E71-Raw_Financials!E71</f>
        <v>0</v>
      </c>
      <c r="F71" s="5">
        <f>+final_results!F71-Raw_Financials!F71</f>
        <v>0</v>
      </c>
      <c r="G71" s="5">
        <f>+final_results!G71-Raw_Financials!G71</f>
        <v>0</v>
      </c>
      <c r="H71" s="5">
        <f>+final_results!H71-Raw_Financials!H71</f>
        <v>0</v>
      </c>
      <c r="I71" s="5">
        <f>+final_results!I71-Raw_Financials!I71</f>
        <v>0</v>
      </c>
      <c r="J71" s="5">
        <f>+final_results!J71-Raw_Financials!J71</f>
        <v>0</v>
      </c>
      <c r="K71" s="5">
        <f>+final_results!K71-Raw_Financials!K71</f>
        <v>0</v>
      </c>
    </row>
    <row r="72" spans="1:11">
      <c r="A72" s="6" t="s">
        <v>70</v>
      </c>
      <c r="B72" s="5">
        <f>+final_results!B72-Raw_Financials!B72</f>
        <v>0</v>
      </c>
      <c r="C72" s="5">
        <f>+final_results!C72-Raw_Financials!C72</f>
        <v>0</v>
      </c>
      <c r="D72" s="5">
        <f>+final_results!D72-Raw_Financials!D72</f>
        <v>0</v>
      </c>
      <c r="E72" s="5">
        <f>+final_results!E72-Raw_Financials!E72</f>
        <v>0</v>
      </c>
      <c r="F72" s="5">
        <f>+final_results!F72-Raw_Financials!F72</f>
        <v>0</v>
      </c>
      <c r="G72" s="5">
        <f>+final_results!G72-Raw_Financials!G72</f>
        <v>0</v>
      </c>
      <c r="H72" s="5">
        <f>+final_results!H72-Raw_Financials!H72</f>
        <v>0</v>
      </c>
      <c r="I72" s="5">
        <f>+final_results!I72-Raw_Financials!I72</f>
        <v>0</v>
      </c>
      <c r="J72" s="5">
        <f>+final_results!J72-Raw_Financials!J72</f>
        <v>0</v>
      </c>
      <c r="K72" s="5">
        <f>+final_results!K72-Raw_Financials!K72</f>
        <v>0</v>
      </c>
    </row>
    <row r="73" spans="1:11">
      <c r="A73" s="5" t="s">
        <v>71</v>
      </c>
      <c r="B73" s="5">
        <f>+final_results!B73-Raw_Financials!B73</f>
        <v>0</v>
      </c>
      <c r="C73" s="5">
        <f>+final_results!C73-Raw_Financials!C73</f>
        <v>0</v>
      </c>
      <c r="D73" s="5">
        <f>+final_results!D73-Raw_Financials!D73</f>
        <v>0</v>
      </c>
      <c r="E73" s="5">
        <f>+final_results!E73-Raw_Financials!E73</f>
        <v>0</v>
      </c>
      <c r="F73" s="5">
        <f>+final_results!F73-Raw_Financials!F73</f>
        <v>0</v>
      </c>
      <c r="G73" s="5">
        <f>+final_results!G73-Raw_Financials!G73</f>
        <v>0</v>
      </c>
      <c r="H73" s="5">
        <f>+final_results!H73-Raw_Financials!H73</f>
        <v>0</v>
      </c>
      <c r="I73" s="5">
        <f>+final_results!I73-Raw_Financials!I73</f>
        <v>0</v>
      </c>
      <c r="J73" s="5">
        <f>+final_results!J73-Raw_Financials!J73</f>
        <v>0</v>
      </c>
      <c r="K73" s="5">
        <f>+final_results!K73-Raw_Financials!K73</f>
        <v>-127377.88798844162</v>
      </c>
    </row>
    <row r="74" spans="1:11">
      <c r="A74" s="6" t="s">
        <v>72</v>
      </c>
      <c r="B74" s="5">
        <f>+final_results!B74-Raw_Financials!B74</f>
        <v>0</v>
      </c>
      <c r="C74" s="5">
        <f>+final_results!C74-Raw_Financials!C74</f>
        <v>0</v>
      </c>
      <c r="D74" s="5">
        <f>+final_results!D74-Raw_Financials!D74</f>
        <v>0</v>
      </c>
      <c r="E74" s="5">
        <f>+final_results!E74-Raw_Financials!E74</f>
        <v>0</v>
      </c>
      <c r="F74" s="5">
        <f>+final_results!F74-Raw_Financials!F74</f>
        <v>0</v>
      </c>
      <c r="G74" s="5">
        <f>+final_results!G74-Raw_Financials!G74</f>
        <v>0</v>
      </c>
      <c r="H74" s="5">
        <f>+final_results!H74-Raw_Financials!H74</f>
        <v>0</v>
      </c>
      <c r="I74" s="5">
        <f>+final_results!I74-Raw_Financials!I74</f>
        <v>-3308.5404584291587</v>
      </c>
      <c r="J74" s="5">
        <f>+final_results!J74-Raw_Financials!J74</f>
        <v>0</v>
      </c>
      <c r="K74" s="5">
        <f>+final_results!K74-Raw_Financials!K74</f>
        <v>-55525.762614517662</v>
      </c>
    </row>
    <row r="75" spans="1:11">
      <c r="A75" s="5" t="s">
        <v>73</v>
      </c>
      <c r="B75" s="5">
        <f>+final_results!B75-Raw_Financials!B75</f>
        <v>0</v>
      </c>
      <c r="C75" s="5">
        <f>+final_results!C75-Raw_Financials!C75</f>
        <v>0</v>
      </c>
      <c r="D75" s="5">
        <f>+final_results!D75-Raw_Financials!D75</f>
        <v>0</v>
      </c>
      <c r="E75" s="5">
        <f>+final_results!E75-Raw_Financials!E75</f>
        <v>0</v>
      </c>
      <c r="F75" s="5">
        <f>+final_results!F75-Raw_Financials!F75</f>
        <v>0</v>
      </c>
      <c r="G75" s="5">
        <f>+final_results!G75-Raw_Financials!G75</f>
        <v>0</v>
      </c>
      <c r="H75" s="5">
        <f>+final_results!H75-Raw_Financials!H75</f>
        <v>0</v>
      </c>
      <c r="I75" s="5">
        <f>+final_results!I75-Raw_Financials!I75</f>
        <v>0</v>
      </c>
      <c r="J75" s="5">
        <f>+final_results!J75-Raw_Financials!J75</f>
        <v>0</v>
      </c>
      <c r="K75" s="5">
        <f>+final_results!K75-Raw_Financials!K75</f>
        <v>-677777.17243238958</v>
      </c>
    </row>
    <row r="76" spans="1:11">
      <c r="A76" s="6" t="s">
        <v>75</v>
      </c>
      <c r="B76" s="5">
        <f>+final_results!B76-Raw_Financials!B76</f>
        <v>0</v>
      </c>
      <c r="C76" s="5">
        <f>+final_results!C76-Raw_Financials!C76</f>
        <v>0</v>
      </c>
      <c r="D76" s="5">
        <f>+final_results!D76-Raw_Financials!D76</f>
        <v>0</v>
      </c>
      <c r="E76" s="5">
        <f>+final_results!E76-Raw_Financials!E76</f>
        <v>0</v>
      </c>
      <c r="F76" s="5">
        <f>+final_results!F76-Raw_Financials!F76</f>
        <v>0</v>
      </c>
      <c r="G76" s="5">
        <f>+final_results!G76-Raw_Financials!G76</f>
        <v>0</v>
      </c>
      <c r="H76" s="5">
        <f>+final_results!H76-Raw_Financials!H76</f>
        <v>0</v>
      </c>
      <c r="I76" s="5">
        <f>+final_results!I76-Raw_Financials!I76</f>
        <v>0</v>
      </c>
      <c r="J76" s="5">
        <f>+final_results!J76-Raw_Financials!J76</f>
        <v>0</v>
      </c>
      <c r="K76" s="5">
        <f>+final_results!K76-Raw_Financials!K76</f>
        <v>0</v>
      </c>
    </row>
    <row r="77" spans="1:11">
      <c r="A77" s="5" t="s">
        <v>76</v>
      </c>
      <c r="B77" s="5">
        <f>+final_results!B77-Raw_Financials!B77</f>
        <v>0</v>
      </c>
      <c r="C77" s="5">
        <f>+final_results!C77-Raw_Financials!C77</f>
        <v>0</v>
      </c>
      <c r="D77" s="5">
        <f>+final_results!D77-Raw_Financials!D77</f>
        <v>0</v>
      </c>
      <c r="E77" s="5">
        <f>+final_results!E77-Raw_Financials!E77</f>
        <v>0</v>
      </c>
      <c r="F77" s="5">
        <f>+final_results!F77-Raw_Financials!F77</f>
        <v>0</v>
      </c>
      <c r="G77" s="5">
        <f>+final_results!G77-Raw_Financials!G77</f>
        <v>0</v>
      </c>
      <c r="H77" s="5">
        <f>+final_results!H77-Raw_Financials!H77</f>
        <v>0</v>
      </c>
      <c r="I77" s="5">
        <f>+final_results!I77-Raw_Financials!I77</f>
        <v>0</v>
      </c>
      <c r="J77" s="5">
        <f>+final_results!J77-Raw_Financials!J77</f>
        <v>0</v>
      </c>
      <c r="K77" s="5">
        <f>+final_results!K77-Raw_Financials!K77</f>
        <v>0</v>
      </c>
    </row>
    <row r="78" spans="1:11">
      <c r="A78" s="6" t="s">
        <v>77</v>
      </c>
      <c r="B78" s="5">
        <f>+final_results!B78-Raw_Financials!B78</f>
        <v>0</v>
      </c>
      <c r="C78" s="5">
        <f>+final_results!C78-Raw_Financials!C78</f>
        <v>0</v>
      </c>
      <c r="D78" s="5">
        <f>+final_results!D78-Raw_Financials!D78</f>
        <v>0</v>
      </c>
      <c r="E78" s="5">
        <f>+final_results!E78-Raw_Financials!E78</f>
        <v>0</v>
      </c>
      <c r="F78" s="5">
        <f>+final_results!F78-Raw_Financials!F78</f>
        <v>0</v>
      </c>
      <c r="G78" s="5">
        <f>+final_results!G78-Raw_Financials!G78</f>
        <v>0</v>
      </c>
      <c r="H78" s="5">
        <f>+final_results!H78-Raw_Financials!H78</f>
        <v>0</v>
      </c>
      <c r="I78" s="5">
        <f>+final_results!I78-Raw_Financials!I78</f>
        <v>0</v>
      </c>
      <c r="J78" s="5">
        <f>+final_results!J78-Raw_Financials!J78</f>
        <v>0</v>
      </c>
      <c r="K78" s="5">
        <f>+final_results!K78-Raw_Financials!K78</f>
        <v>0</v>
      </c>
    </row>
    <row r="79" spans="1:11">
      <c r="A79" s="5" t="s">
        <v>78</v>
      </c>
      <c r="B79" s="5">
        <f>+final_results!B79-Raw_Financials!B79</f>
        <v>0</v>
      </c>
      <c r="C79" s="5">
        <f>+final_results!C79-Raw_Financials!C79</f>
        <v>0</v>
      </c>
      <c r="D79" s="5">
        <f>+final_results!D79-Raw_Financials!D79</f>
        <v>0</v>
      </c>
      <c r="E79" s="5">
        <f>+final_results!E79-Raw_Financials!E79</f>
        <v>0</v>
      </c>
      <c r="F79" s="5">
        <f>+final_results!F79-Raw_Financials!F79</f>
        <v>0</v>
      </c>
      <c r="G79" s="5">
        <f>+final_results!G79-Raw_Financials!G79</f>
        <v>0</v>
      </c>
      <c r="H79" s="5">
        <f>+final_results!H79-Raw_Financials!H79</f>
        <v>0</v>
      </c>
      <c r="I79" s="5">
        <f>+final_results!I79-Raw_Financials!I79</f>
        <v>0</v>
      </c>
      <c r="J79" s="5">
        <f>+final_results!J79-Raw_Financials!J79</f>
        <v>0</v>
      </c>
      <c r="K79" s="5">
        <f>+final_results!K79-Raw_Financials!K79</f>
        <v>0</v>
      </c>
    </row>
    <row r="80" spans="1:11">
      <c r="A80" s="6" t="s">
        <v>79</v>
      </c>
      <c r="B80" s="5">
        <f>+final_results!B80-Raw_Financials!B80</f>
        <v>0</v>
      </c>
      <c r="C80" s="5">
        <f>+final_results!C80-Raw_Financials!C80</f>
        <v>0</v>
      </c>
      <c r="D80" s="5">
        <f>+final_results!D80-Raw_Financials!D80</f>
        <v>0</v>
      </c>
      <c r="E80" s="5">
        <f>+final_results!E80-Raw_Financials!E80</f>
        <v>0</v>
      </c>
      <c r="F80" s="5">
        <f>+final_results!F80-Raw_Financials!F80</f>
        <v>0</v>
      </c>
      <c r="G80" s="5">
        <f>+final_results!G80-Raw_Financials!G80</f>
        <v>0</v>
      </c>
      <c r="H80" s="5">
        <f>+final_results!H80-Raw_Financials!H80</f>
        <v>0</v>
      </c>
      <c r="I80" s="5">
        <f>+final_results!I80-Raw_Financials!I80</f>
        <v>0</v>
      </c>
      <c r="J80" s="5">
        <f>+final_results!J80-Raw_Financials!J80</f>
        <v>0</v>
      </c>
      <c r="K80" s="5">
        <f>+final_results!K80-Raw_Financials!K80</f>
        <v>-558867.77307646174</v>
      </c>
    </row>
    <row r="81" spans="1:11">
      <c r="A81" s="5" t="s">
        <v>80</v>
      </c>
      <c r="B81" s="5">
        <f>+final_results!B81-Raw_Financials!B81</f>
        <v>0</v>
      </c>
      <c r="C81" s="5">
        <f>+final_results!C81-Raw_Financials!C81</f>
        <v>0</v>
      </c>
      <c r="D81" s="5">
        <f>+final_results!D81-Raw_Financials!D81</f>
        <v>0</v>
      </c>
      <c r="E81" s="5">
        <f>+final_results!E81-Raw_Financials!E81</f>
        <v>0</v>
      </c>
      <c r="F81" s="5">
        <f>+final_results!F81-Raw_Financials!F81</f>
        <v>0</v>
      </c>
      <c r="G81" s="5">
        <f>+final_results!G81-Raw_Financials!G81</f>
        <v>0</v>
      </c>
      <c r="H81" s="5">
        <f>+final_results!H81-Raw_Financials!H81</f>
        <v>0</v>
      </c>
      <c r="I81" s="5">
        <f>+final_results!I81-Raw_Financials!I81</f>
        <v>0</v>
      </c>
      <c r="J81" s="5">
        <f>+final_results!J81-Raw_Financials!J81</f>
        <v>0</v>
      </c>
      <c r="K81" s="5">
        <f>+final_results!K81-Raw_Financials!K81</f>
        <v>0</v>
      </c>
    </row>
    <row r="82" spans="1:11">
      <c r="A82" s="7" t="s">
        <v>81</v>
      </c>
      <c r="B82" s="5">
        <f>+final_results!B82-Raw_Financials!B82</f>
        <v>0</v>
      </c>
      <c r="C82" s="5">
        <f>+final_results!C82-Raw_Financials!C82</f>
        <v>0</v>
      </c>
      <c r="D82" s="5">
        <f>+final_results!D82-Raw_Financials!D82</f>
        <v>0</v>
      </c>
      <c r="E82" s="5">
        <f>+final_results!E82-Raw_Financials!E82</f>
        <v>0</v>
      </c>
      <c r="F82" s="5">
        <f>+final_results!F82-Raw_Financials!F82</f>
        <v>0</v>
      </c>
      <c r="G82" s="5">
        <f>+final_results!G82-Raw_Financials!G82</f>
        <v>0</v>
      </c>
      <c r="H82" s="5">
        <f>+final_results!H82-Raw_Financials!H82</f>
        <v>0</v>
      </c>
      <c r="I82" s="5">
        <f>+final_results!I82-Raw_Financials!I82</f>
        <v>0</v>
      </c>
      <c r="J82" s="5">
        <f>+final_results!J82-Raw_Financials!J82</f>
        <v>0</v>
      </c>
      <c r="K82" s="5">
        <f>+final_results!K82-Raw_Financials!K82</f>
        <v>-2127.5792697807774</v>
      </c>
    </row>
    <row r="83" spans="1:11">
      <c r="A83" s="5" t="s">
        <v>82</v>
      </c>
      <c r="B83" s="5">
        <f>+final_results!B83-Raw_Financials!B83</f>
        <v>0</v>
      </c>
      <c r="C83" s="5">
        <f>+final_results!C83-Raw_Financials!C83</f>
        <v>0</v>
      </c>
      <c r="D83" s="5">
        <f>+final_results!D83-Raw_Financials!D83</f>
        <v>0</v>
      </c>
      <c r="E83" s="5">
        <f>+final_results!E83-Raw_Financials!E83</f>
        <v>0</v>
      </c>
      <c r="F83" s="5">
        <f>+final_results!F83-Raw_Financials!F83</f>
        <v>0</v>
      </c>
      <c r="G83" s="5">
        <f>+final_results!G83-Raw_Financials!G83</f>
        <v>0</v>
      </c>
      <c r="H83" s="5">
        <f>+final_results!H83-Raw_Financials!H83</f>
        <v>0</v>
      </c>
      <c r="I83" s="5">
        <f>+final_results!I83-Raw_Financials!I83</f>
        <v>-5490472.2740000002</v>
      </c>
      <c r="J83" s="5">
        <f>+final_results!J83-Raw_Financials!J83</f>
        <v>0</v>
      </c>
      <c r="K83" s="5">
        <f>+final_results!K83-Raw_Financials!K83</f>
        <v>0</v>
      </c>
    </row>
    <row r="84" spans="1:11">
      <c r="A84" s="6" t="s">
        <v>83</v>
      </c>
      <c r="B84" s="5">
        <f>+final_results!B84-Raw_Financials!B84</f>
        <v>0</v>
      </c>
      <c r="C84" s="5">
        <f>+final_results!C84-Raw_Financials!C84</f>
        <v>0</v>
      </c>
      <c r="D84" s="5">
        <f>+final_results!D84-Raw_Financials!D84</f>
        <v>0</v>
      </c>
      <c r="E84" s="5">
        <f>+final_results!E84-Raw_Financials!E84</f>
        <v>0</v>
      </c>
      <c r="F84" s="5">
        <f>+final_results!F84-Raw_Financials!F84</f>
        <v>0</v>
      </c>
      <c r="G84" s="5">
        <f>+final_results!G84-Raw_Financials!G84</f>
        <v>0</v>
      </c>
      <c r="H84" s="5">
        <f>+final_results!H84-Raw_Financials!H84</f>
        <v>0</v>
      </c>
      <c r="I84" s="5">
        <f>+final_results!I84-Raw_Financials!I84</f>
        <v>0</v>
      </c>
      <c r="J84" s="5">
        <f>+final_results!J84-Raw_Financials!J84</f>
        <v>0</v>
      </c>
      <c r="K84" s="5">
        <f>+final_results!K84-Raw_Financials!K84</f>
        <v>0</v>
      </c>
    </row>
    <row r="85" spans="1:11">
      <c r="A85" s="6" t="s">
        <v>84</v>
      </c>
      <c r="B85" s="5">
        <f>+final_results!B85-Raw_Financials!B85</f>
        <v>0</v>
      </c>
      <c r="C85" s="5">
        <f>+final_results!C85-Raw_Financials!C85</f>
        <v>0</v>
      </c>
      <c r="D85" s="5">
        <f>+final_results!D85-Raw_Financials!D85</f>
        <v>0</v>
      </c>
      <c r="E85" s="5">
        <f>+final_results!E85-Raw_Financials!E85</f>
        <v>0</v>
      </c>
      <c r="F85" s="5">
        <f>+final_results!F85-Raw_Financials!F85</f>
        <v>0</v>
      </c>
      <c r="G85" s="5">
        <f>+final_results!G85-Raw_Financials!G85</f>
        <v>0</v>
      </c>
      <c r="H85" s="5">
        <f>+final_results!H85-Raw_Financials!H85</f>
        <v>0</v>
      </c>
      <c r="I85" s="5">
        <f>+final_results!I85-Raw_Financials!I85</f>
        <v>0</v>
      </c>
      <c r="J85" s="5">
        <f>+final_results!J85-Raw_Financials!J85</f>
        <v>0</v>
      </c>
      <c r="K85" s="5">
        <f>+final_results!K85-Raw_Financials!K85</f>
        <v>0</v>
      </c>
    </row>
    <row r="86" spans="1:11">
      <c r="A86" s="5" t="s">
        <v>85</v>
      </c>
      <c r="B86" s="5">
        <f>+final_results!B86-Raw_Financials!B86</f>
        <v>0</v>
      </c>
      <c r="C86" s="5">
        <f>+final_results!C86-Raw_Financials!C86</f>
        <v>0</v>
      </c>
      <c r="D86" s="5">
        <f>+final_results!D86-Raw_Financials!D86</f>
        <v>0</v>
      </c>
      <c r="E86" s="5">
        <f>+final_results!E86-Raw_Financials!E86</f>
        <v>0</v>
      </c>
      <c r="F86" s="5">
        <f>+final_results!F86-Raw_Financials!F86</f>
        <v>0</v>
      </c>
      <c r="G86" s="5">
        <f>+final_results!G86-Raw_Financials!G86</f>
        <v>0</v>
      </c>
      <c r="H86" s="5">
        <f>+final_results!H86-Raw_Financials!H86</f>
        <v>0</v>
      </c>
      <c r="I86" s="5">
        <f>+final_results!I86-Raw_Financials!I86</f>
        <v>0</v>
      </c>
      <c r="J86" s="5">
        <f>+final_results!J86-Raw_Financials!J86</f>
        <v>-6926198.2051432412</v>
      </c>
      <c r="K86" s="5">
        <f>+final_results!K86-Raw_Financials!K86</f>
        <v>-10810881.505676243</v>
      </c>
    </row>
    <row r="87" spans="1:11">
      <c r="A87" s="6" t="s">
        <v>86</v>
      </c>
      <c r="B87" s="5">
        <f>+final_results!B87-Raw_Financials!B87</f>
        <v>0</v>
      </c>
      <c r="C87" s="5">
        <f>+final_results!C87-Raw_Financials!C87</f>
        <v>0</v>
      </c>
      <c r="D87" s="5">
        <f>+final_results!D87-Raw_Financials!D87</f>
        <v>0</v>
      </c>
      <c r="E87" s="5">
        <f>+final_results!E87-Raw_Financials!E87</f>
        <v>0</v>
      </c>
      <c r="F87" s="5">
        <f>+final_results!F87-Raw_Financials!F87</f>
        <v>0</v>
      </c>
      <c r="G87" s="5">
        <f>+final_results!G87-Raw_Financials!G87</f>
        <v>0</v>
      </c>
      <c r="H87" s="5">
        <f>+final_results!H87-Raw_Financials!H87</f>
        <v>0</v>
      </c>
      <c r="I87" s="5">
        <f>+final_results!I87-Raw_Financials!I87</f>
        <v>0</v>
      </c>
      <c r="J87" s="5">
        <f>+final_results!J87-Raw_Financials!J87</f>
        <v>0</v>
      </c>
      <c r="K87" s="5">
        <f>+final_results!K87-Raw_Financials!K87</f>
        <v>0</v>
      </c>
    </row>
    <row r="88" spans="1:11">
      <c r="A88" s="5" t="s">
        <v>87</v>
      </c>
      <c r="B88" s="5">
        <f>+final_results!B88-Raw_Financials!B88</f>
        <v>0</v>
      </c>
      <c r="C88" s="5">
        <f>+final_results!C88-Raw_Financials!C88</f>
        <v>0</v>
      </c>
      <c r="D88" s="5">
        <f>+final_results!D88-Raw_Financials!D88</f>
        <v>0</v>
      </c>
      <c r="E88" s="5">
        <f>+final_results!E88-Raw_Financials!E88</f>
        <v>0</v>
      </c>
      <c r="F88" s="5">
        <f>+final_results!F88-Raw_Financials!F88</f>
        <v>0</v>
      </c>
      <c r="G88" s="5">
        <f>+final_results!G88-Raw_Financials!G88</f>
        <v>0</v>
      </c>
      <c r="H88" s="5">
        <f>+final_results!H88-Raw_Financials!H88</f>
        <v>0</v>
      </c>
      <c r="I88" s="5">
        <f>+final_results!I88-Raw_Financials!I88</f>
        <v>0</v>
      </c>
      <c r="J88" s="5">
        <f>+final_results!J88-Raw_Financials!J88</f>
        <v>0</v>
      </c>
      <c r="K88" s="5">
        <f>+final_results!K88-Raw_Financials!K88</f>
        <v>0</v>
      </c>
    </row>
    <row r="89" spans="1:11">
      <c r="A89" s="6" t="s">
        <v>88</v>
      </c>
      <c r="B89" s="5">
        <f>+final_results!B89-Raw_Financials!B89</f>
        <v>0</v>
      </c>
      <c r="C89" s="5">
        <f>+final_results!C89-Raw_Financials!C89</f>
        <v>0</v>
      </c>
      <c r="D89" s="5">
        <f>+final_results!D89-Raw_Financials!D89</f>
        <v>0</v>
      </c>
      <c r="E89" s="5">
        <f>+final_results!E89-Raw_Financials!E89</f>
        <v>0</v>
      </c>
      <c r="F89" s="5">
        <f>+final_results!F89-Raw_Financials!F89</f>
        <v>0</v>
      </c>
      <c r="G89" s="5">
        <f>+final_results!G89-Raw_Financials!G89</f>
        <v>0</v>
      </c>
      <c r="H89" s="5">
        <f>+final_results!H89-Raw_Financials!H89</f>
        <v>0</v>
      </c>
      <c r="I89" s="5">
        <f>+final_results!I89-Raw_Financials!I89</f>
        <v>0</v>
      </c>
      <c r="J89" s="5">
        <f>+final_results!J89-Raw_Financials!J89</f>
        <v>0</v>
      </c>
      <c r="K89" s="5">
        <f>+final_results!K89-Raw_Financials!K89</f>
        <v>0</v>
      </c>
    </row>
    <row r="90" spans="1:11">
      <c r="A90" s="5" t="s">
        <v>89</v>
      </c>
      <c r="B90" s="5">
        <f>+final_results!B90-Raw_Financials!B90</f>
        <v>0</v>
      </c>
      <c r="C90" s="5">
        <f>+final_results!C90-Raw_Financials!C90</f>
        <v>0</v>
      </c>
      <c r="D90" s="5">
        <f>+final_results!D90-Raw_Financials!D90</f>
        <v>0</v>
      </c>
      <c r="E90" s="5">
        <f>+final_results!E90-Raw_Financials!E90</f>
        <v>0</v>
      </c>
      <c r="F90" s="5">
        <f>+final_results!F90-Raw_Financials!F90</f>
        <v>0</v>
      </c>
      <c r="G90" s="5">
        <f>+final_results!G90-Raw_Financials!G90</f>
        <v>0</v>
      </c>
      <c r="H90" s="5">
        <f>+final_results!H90-Raw_Financials!H90</f>
        <v>0</v>
      </c>
      <c r="I90" s="5">
        <f>+final_results!I90-Raw_Financials!I90</f>
        <v>0</v>
      </c>
      <c r="J90" s="5">
        <f>+final_results!J90-Raw_Financials!J90</f>
        <v>0</v>
      </c>
      <c r="K90" s="5">
        <f>+final_results!K90-Raw_Financials!K90</f>
        <v>0</v>
      </c>
    </row>
    <row r="91" spans="1:11">
      <c r="A91" s="6" t="s">
        <v>90</v>
      </c>
      <c r="B91" s="5">
        <f>+final_results!B91-Raw_Financials!B91</f>
        <v>0</v>
      </c>
      <c r="C91" s="5">
        <f>+final_results!C91-Raw_Financials!C91</f>
        <v>0</v>
      </c>
      <c r="D91" s="5">
        <f>+final_results!D91-Raw_Financials!D91</f>
        <v>0</v>
      </c>
      <c r="E91" s="5">
        <f>+final_results!E91-Raw_Financials!E91</f>
        <v>0</v>
      </c>
      <c r="F91" s="5">
        <f>+final_results!F91-Raw_Financials!F91</f>
        <v>0</v>
      </c>
      <c r="G91" s="5">
        <f>+final_results!G91-Raw_Financials!G91</f>
        <v>0</v>
      </c>
      <c r="H91" s="5">
        <f>+final_results!H91-Raw_Financials!H91</f>
        <v>0</v>
      </c>
      <c r="I91" s="5">
        <f>+final_results!I91-Raw_Financials!I91</f>
        <v>0</v>
      </c>
      <c r="J91" s="5">
        <f>+final_results!J91-Raw_Financials!J91</f>
        <v>-294802.06219489733</v>
      </c>
      <c r="K91" s="5">
        <f>+final_results!K91-Raw_Financials!K91</f>
        <v>-1313094.4885381425</v>
      </c>
    </row>
    <row r="92" spans="1:11">
      <c r="A92" s="5" t="s">
        <v>91</v>
      </c>
      <c r="B92" s="5">
        <f>+final_results!B92-Raw_Financials!B92</f>
        <v>0</v>
      </c>
      <c r="C92" s="5">
        <f>+final_results!C92-Raw_Financials!C92</f>
        <v>0</v>
      </c>
      <c r="D92" s="5">
        <f>+final_results!D92-Raw_Financials!D92</f>
        <v>0</v>
      </c>
      <c r="E92" s="5">
        <f>+final_results!E92-Raw_Financials!E92</f>
        <v>0</v>
      </c>
      <c r="F92" s="5">
        <f>+final_results!F92-Raw_Financials!F92</f>
        <v>0</v>
      </c>
      <c r="G92" s="5">
        <f>+final_results!G92-Raw_Financials!G92</f>
        <v>0</v>
      </c>
      <c r="H92" s="5">
        <f>+final_results!H92-Raw_Financials!H92</f>
        <v>0</v>
      </c>
      <c r="I92" s="5">
        <f>+final_results!I92-Raw_Financials!I92</f>
        <v>0</v>
      </c>
      <c r="J92" s="5">
        <f>+final_results!J92-Raw_Financials!J92</f>
        <v>0</v>
      </c>
      <c r="K92" s="5">
        <f>+final_results!K92-Raw_Financials!K92</f>
        <v>0</v>
      </c>
    </row>
    <row r="93" spans="1:11">
      <c r="A93" s="7" t="s">
        <v>74</v>
      </c>
      <c r="B93" s="5">
        <f>+final_results!B93-Raw_Financials!B93</f>
        <v>0</v>
      </c>
      <c r="C93" s="5">
        <f>+final_results!C93-Raw_Financials!C93</f>
        <v>0</v>
      </c>
      <c r="D93" s="5">
        <f>+final_results!D93-Raw_Financials!D93</f>
        <v>0</v>
      </c>
      <c r="E93" s="5">
        <f>+final_results!E93-Raw_Financials!E93</f>
        <v>0</v>
      </c>
      <c r="F93" s="5">
        <f>+final_results!F93-Raw_Financials!F93</f>
        <v>0</v>
      </c>
      <c r="G93" s="5">
        <f>+final_results!G93-Raw_Financials!G93</f>
        <v>0</v>
      </c>
      <c r="H93" s="5">
        <f>+final_results!H93-Raw_Financials!H93</f>
        <v>0</v>
      </c>
      <c r="I93" s="5">
        <f>+final_results!I93-Raw_Financials!I93</f>
        <v>0</v>
      </c>
      <c r="J93" s="5">
        <f>+final_results!J93-Raw_Financials!J93</f>
        <v>0</v>
      </c>
      <c r="K93" s="5">
        <f>+final_results!K93-Raw_Financials!K93</f>
        <v>0</v>
      </c>
    </row>
    <row r="94" spans="1:11">
      <c r="A94" s="5" t="s">
        <v>92</v>
      </c>
      <c r="B94" s="5">
        <f>+final_results!B94-Raw_Financials!B94</f>
        <v>0</v>
      </c>
      <c r="C94" s="5">
        <f>+final_results!C94-Raw_Financials!C94</f>
        <v>0</v>
      </c>
      <c r="D94" s="5">
        <f>+final_results!D94-Raw_Financials!D94</f>
        <v>0</v>
      </c>
      <c r="E94" s="5">
        <f>+final_results!E94-Raw_Financials!E94</f>
        <v>0</v>
      </c>
      <c r="F94" s="5">
        <f>+final_results!F94-Raw_Financials!F94</f>
        <v>0</v>
      </c>
      <c r="G94" s="5">
        <f>+final_results!G94-Raw_Financials!G94</f>
        <v>0</v>
      </c>
      <c r="H94" s="5">
        <f>+final_results!H94-Raw_Financials!H94</f>
        <v>0</v>
      </c>
      <c r="I94" s="5">
        <f>+final_results!I94-Raw_Financials!I94</f>
        <v>0</v>
      </c>
      <c r="J94" s="5">
        <f>+final_results!J94-Raw_Financials!J94</f>
        <v>0</v>
      </c>
      <c r="K94" s="5">
        <f>+final_results!K94-Raw_Financials!K94</f>
        <v>0</v>
      </c>
    </row>
    <row r="95" spans="1:11">
      <c r="A95" s="6" t="s">
        <v>93</v>
      </c>
      <c r="B95" s="5">
        <f>+final_results!B95-Raw_Financials!B95</f>
        <v>0</v>
      </c>
      <c r="C95" s="5">
        <f>+final_results!C95-Raw_Financials!C95</f>
        <v>-2798.286020284042</v>
      </c>
      <c r="D95" s="5">
        <f>+final_results!D95-Raw_Financials!D95</f>
        <v>-1562.7143587297642</v>
      </c>
      <c r="E95" s="5">
        <f>+final_results!E95-Raw_Financials!E95</f>
        <v>0</v>
      </c>
      <c r="F95" s="5">
        <f>+final_results!F95-Raw_Financials!F95</f>
        <v>0</v>
      </c>
      <c r="G95" s="5">
        <f>+final_results!G95-Raw_Financials!G95</f>
        <v>0</v>
      </c>
      <c r="H95" s="5">
        <f>+final_results!H95-Raw_Financials!H95</f>
        <v>0</v>
      </c>
      <c r="I95" s="5">
        <f>+final_results!I95-Raw_Financials!I95</f>
        <v>0</v>
      </c>
      <c r="J95" s="5">
        <f>+final_results!J95-Raw_Financials!J95</f>
        <v>0</v>
      </c>
      <c r="K95" s="5">
        <f>+final_results!K95-Raw_Financials!K95</f>
        <v>0</v>
      </c>
    </row>
    <row r="96" spans="1:11">
      <c r="A96" s="5" t="s">
        <v>94</v>
      </c>
      <c r="B96" s="5">
        <f>+final_results!B96-Raw_Financials!B96</f>
        <v>0</v>
      </c>
      <c r="C96" s="5">
        <f>+final_results!C96-Raw_Financials!C96</f>
        <v>0</v>
      </c>
      <c r="D96" s="5">
        <f>+final_results!D96-Raw_Financials!D96</f>
        <v>0</v>
      </c>
      <c r="E96" s="5">
        <f>+final_results!E96-Raw_Financials!E96</f>
        <v>0</v>
      </c>
      <c r="F96" s="5">
        <f>+final_results!F96-Raw_Financials!F96</f>
        <v>0</v>
      </c>
      <c r="G96" s="5">
        <f>+final_results!G96-Raw_Financials!G96</f>
        <v>0</v>
      </c>
      <c r="H96" s="5">
        <f>+final_results!H96-Raw_Financials!H96</f>
        <v>0</v>
      </c>
      <c r="I96" s="5">
        <f>+final_results!I96-Raw_Financials!I96</f>
        <v>0</v>
      </c>
      <c r="J96" s="5">
        <f>+final_results!J96-Raw_Financials!J96</f>
        <v>0</v>
      </c>
      <c r="K96" s="5">
        <f>+final_results!K96-Raw_Financials!K96</f>
        <v>0</v>
      </c>
    </row>
    <row r="97" spans="1:11">
      <c r="A97" s="6" t="s">
        <v>95</v>
      </c>
      <c r="B97" s="5">
        <f>+final_results!B97-Raw_Financials!B97</f>
        <v>0</v>
      </c>
      <c r="C97" s="5">
        <f>+final_results!C97-Raw_Financials!C97</f>
        <v>0</v>
      </c>
      <c r="D97" s="5">
        <f>+final_results!D97-Raw_Financials!D97</f>
        <v>0</v>
      </c>
      <c r="E97" s="5">
        <f>+final_results!E97-Raw_Financials!E97</f>
        <v>0</v>
      </c>
      <c r="F97" s="5">
        <f>+final_results!F97-Raw_Financials!F97</f>
        <v>0</v>
      </c>
      <c r="G97" s="5">
        <f>+final_results!G97-Raw_Financials!G97</f>
        <v>0</v>
      </c>
      <c r="H97" s="5">
        <f>+final_results!H97-Raw_Financials!H97</f>
        <v>0</v>
      </c>
      <c r="I97" s="5">
        <f>+final_results!I97-Raw_Financials!I97</f>
        <v>0</v>
      </c>
      <c r="J97" s="5">
        <f>+final_results!J97-Raw_Financials!J97</f>
        <v>0</v>
      </c>
      <c r="K97" s="5">
        <f>+final_results!K97-Raw_Financials!K97</f>
        <v>0</v>
      </c>
    </row>
    <row r="98" spans="1:11">
      <c r="A98" s="5" t="s">
        <v>96</v>
      </c>
      <c r="B98" s="5">
        <f>+final_results!B98-Raw_Financials!B98</f>
        <v>0</v>
      </c>
      <c r="C98" s="5">
        <f>+final_results!C98-Raw_Financials!C98</f>
        <v>0</v>
      </c>
      <c r="D98" s="5">
        <f>+final_results!D98-Raw_Financials!D98</f>
        <v>0</v>
      </c>
      <c r="E98" s="5">
        <f>+final_results!E98-Raw_Financials!E98</f>
        <v>0</v>
      </c>
      <c r="F98" s="5">
        <f>+final_results!F98-Raw_Financials!F98</f>
        <v>0</v>
      </c>
      <c r="G98" s="5">
        <f>+final_results!G98-Raw_Financials!G98</f>
        <v>0</v>
      </c>
      <c r="H98" s="5">
        <f>+final_results!H98-Raw_Financials!H98</f>
        <v>0</v>
      </c>
      <c r="I98" s="5">
        <f>+final_results!I98-Raw_Financials!I98</f>
        <v>0</v>
      </c>
      <c r="J98" s="5">
        <f>+final_results!J98-Raw_Financials!J98</f>
        <v>0</v>
      </c>
      <c r="K98" s="5">
        <f>+final_results!K98-Raw_Financials!K98</f>
        <v>0</v>
      </c>
    </row>
    <row r="99" spans="1:11">
      <c r="A99" s="6" t="s">
        <v>97</v>
      </c>
      <c r="B99" s="5">
        <f>+final_results!B99-Raw_Financials!B99</f>
        <v>0</v>
      </c>
      <c r="C99" s="5">
        <f>+final_results!C99-Raw_Financials!C99</f>
        <v>0</v>
      </c>
      <c r="D99" s="5">
        <f>+final_results!D99-Raw_Financials!D99</f>
        <v>0</v>
      </c>
      <c r="E99" s="5">
        <f>+final_results!E99-Raw_Financials!E99</f>
        <v>0</v>
      </c>
      <c r="F99" s="5">
        <f>+final_results!F99-Raw_Financials!F99</f>
        <v>0</v>
      </c>
      <c r="G99" s="5">
        <f>+final_results!G99-Raw_Financials!G99</f>
        <v>0</v>
      </c>
      <c r="H99" s="5">
        <f>+final_results!H99-Raw_Financials!H99</f>
        <v>0</v>
      </c>
      <c r="I99" s="5">
        <f>+final_results!I99-Raw_Financials!I99</f>
        <v>0</v>
      </c>
      <c r="J99" s="5">
        <f>+final_results!J99-Raw_Financials!J99</f>
        <v>0</v>
      </c>
      <c r="K99" s="5">
        <f>+final_results!K99-Raw_Financials!K99</f>
        <v>0</v>
      </c>
    </row>
    <row r="100" spans="1:11">
      <c r="A100" s="7" t="s">
        <v>98</v>
      </c>
      <c r="B100" s="5">
        <f>+final_results!B100-Raw_Financials!B100</f>
        <v>0</v>
      </c>
      <c r="C100" s="5">
        <f>+final_results!C100-Raw_Financials!C100</f>
        <v>-2798.286020284042</v>
      </c>
      <c r="D100" s="5">
        <f>+final_results!D100-Raw_Financials!D100</f>
        <v>-1562.7143587297642</v>
      </c>
      <c r="E100" s="5">
        <f>+final_results!E100-Raw_Financials!E100</f>
        <v>0</v>
      </c>
      <c r="F100" s="5">
        <f>+final_results!F100-Raw_Financials!F100</f>
        <v>0</v>
      </c>
      <c r="G100" s="5">
        <f>+final_results!G100-Raw_Financials!G100</f>
        <v>0</v>
      </c>
      <c r="H100" s="5">
        <f>+final_results!H100-Raw_Financials!H100</f>
        <v>0</v>
      </c>
      <c r="I100" s="5">
        <f>+final_results!I100-Raw_Financials!I100</f>
        <v>0</v>
      </c>
      <c r="J100" s="5">
        <f>+final_results!J100-Raw_Financials!J100</f>
        <v>0</v>
      </c>
      <c r="K100" s="5">
        <f>+final_results!K100-Raw_Financials!K100</f>
        <v>0</v>
      </c>
    </row>
    <row r="101" spans="1:11">
      <c r="A101" s="6" t="s">
        <v>99</v>
      </c>
      <c r="B101" s="5">
        <f>+final_results!B101-Raw_Financials!B101</f>
        <v>0</v>
      </c>
      <c r="C101" s="5">
        <f>+final_results!C101-Raw_Financials!C101</f>
        <v>0</v>
      </c>
      <c r="D101" s="5">
        <f>+final_results!D101-Raw_Financials!D101</f>
        <v>0</v>
      </c>
      <c r="E101" s="5">
        <f>+final_results!E101-Raw_Financials!E101</f>
        <v>0</v>
      </c>
      <c r="F101" s="5">
        <f>+final_results!F101-Raw_Financials!F101</f>
        <v>0</v>
      </c>
      <c r="G101" s="5">
        <f>+final_results!G101-Raw_Financials!G101</f>
        <v>0</v>
      </c>
      <c r="H101" s="5">
        <f>+final_results!H101-Raw_Financials!H101</f>
        <v>0</v>
      </c>
      <c r="I101" s="5">
        <f>+final_results!I101-Raw_Financials!I101</f>
        <v>0</v>
      </c>
      <c r="J101" s="5">
        <f>+final_results!J101-Raw_Financials!J101</f>
        <v>0</v>
      </c>
      <c r="K101" s="5">
        <f>+final_results!K101-Raw_Financials!K101</f>
        <v>0</v>
      </c>
    </row>
    <row r="102" spans="1:11">
      <c r="A102" s="5" t="s">
        <v>100</v>
      </c>
      <c r="B102" s="5">
        <f>+final_results!B102-Raw_Financials!B102</f>
        <v>0</v>
      </c>
      <c r="C102" s="5">
        <f>+final_results!C102-Raw_Financials!C102</f>
        <v>0</v>
      </c>
      <c r="D102" s="5">
        <f>+final_results!D102-Raw_Financials!D102</f>
        <v>0</v>
      </c>
      <c r="E102" s="5">
        <f>+final_results!E102-Raw_Financials!E102</f>
        <v>0</v>
      </c>
      <c r="F102" s="5">
        <f>+final_results!F102-Raw_Financials!F102</f>
        <v>0</v>
      </c>
      <c r="G102" s="5">
        <f>+final_results!G102-Raw_Financials!G102</f>
        <v>0</v>
      </c>
      <c r="H102" s="5">
        <f>+final_results!H102-Raw_Financials!H102</f>
        <v>0</v>
      </c>
      <c r="I102" s="5">
        <f>+final_results!I102-Raw_Financials!I102</f>
        <v>0</v>
      </c>
      <c r="J102" s="5">
        <f>+final_results!J102-Raw_Financials!J102</f>
        <v>0</v>
      </c>
      <c r="K102" s="5">
        <f>+final_results!K102-Raw_Financials!K102</f>
        <v>0</v>
      </c>
    </row>
    <row r="103" spans="1:11">
      <c r="A103" s="6" t="s">
        <v>101</v>
      </c>
      <c r="B103" s="5">
        <f>+final_results!B103-Raw_Financials!B103</f>
        <v>0</v>
      </c>
      <c r="C103" s="5">
        <f>+final_results!C103-Raw_Financials!C103</f>
        <v>0</v>
      </c>
      <c r="D103" s="5">
        <f>+final_results!D103-Raw_Financials!D103</f>
        <v>0</v>
      </c>
      <c r="E103" s="5">
        <f>+final_results!E103-Raw_Financials!E103</f>
        <v>0</v>
      </c>
      <c r="F103" s="5">
        <f>+final_results!F103-Raw_Financials!F103</f>
        <v>0</v>
      </c>
      <c r="G103" s="5">
        <f>+final_results!G103-Raw_Financials!G103</f>
        <v>0</v>
      </c>
      <c r="H103" s="5">
        <f>+final_results!H103-Raw_Financials!H103</f>
        <v>0</v>
      </c>
      <c r="I103" s="5">
        <f>+final_results!I103-Raw_Financials!I103</f>
        <v>0</v>
      </c>
      <c r="J103" s="5">
        <f>+final_results!J103-Raw_Financials!J103</f>
        <v>0</v>
      </c>
      <c r="K103" s="5">
        <f>+final_results!K103-Raw_Financials!K103</f>
        <v>0</v>
      </c>
    </row>
    <row r="104" spans="1:11">
      <c r="A104" s="5" t="s">
        <v>102</v>
      </c>
      <c r="B104" s="5">
        <f>+final_results!B104-Raw_Financials!B104</f>
        <v>0</v>
      </c>
      <c r="C104" s="5">
        <f>+final_results!C104-Raw_Financials!C104</f>
        <v>0</v>
      </c>
      <c r="D104" s="5">
        <f>+final_results!D104-Raw_Financials!D104</f>
        <v>0</v>
      </c>
      <c r="E104" s="5">
        <f>+final_results!E104-Raw_Financials!E104</f>
        <v>0</v>
      </c>
      <c r="F104" s="5">
        <f>+final_results!F104-Raw_Financials!F104</f>
        <v>0</v>
      </c>
      <c r="G104" s="5">
        <f>+final_results!G104-Raw_Financials!G104</f>
        <v>0</v>
      </c>
      <c r="H104" s="5">
        <f>+final_results!H104-Raw_Financials!H104</f>
        <v>0</v>
      </c>
      <c r="I104" s="5">
        <f>+final_results!I104-Raw_Financials!I104</f>
        <v>0</v>
      </c>
      <c r="J104" s="5">
        <f>+final_results!J104-Raw_Financials!J104</f>
        <v>0</v>
      </c>
      <c r="K104" s="5">
        <f>+final_results!K104-Raw_Financials!K104</f>
        <v>0</v>
      </c>
    </row>
    <row r="105" spans="1:11">
      <c r="A105" s="6" t="s">
        <v>103</v>
      </c>
      <c r="B105" s="5">
        <f>+final_results!B105-Raw_Financials!B105</f>
        <v>0</v>
      </c>
      <c r="C105" s="5">
        <f>+final_results!C105-Raw_Financials!C105</f>
        <v>0</v>
      </c>
      <c r="D105" s="5">
        <f>+final_results!D105-Raw_Financials!D105</f>
        <v>0</v>
      </c>
      <c r="E105" s="5">
        <f>+final_results!E105-Raw_Financials!E105</f>
        <v>0</v>
      </c>
      <c r="F105" s="5">
        <f>+final_results!F105-Raw_Financials!F105</f>
        <v>0</v>
      </c>
      <c r="G105" s="5">
        <f>+final_results!G105-Raw_Financials!G105</f>
        <v>0</v>
      </c>
      <c r="H105" s="5">
        <f>+final_results!H105-Raw_Financials!H105</f>
        <v>0</v>
      </c>
      <c r="I105" s="5">
        <f>+final_results!I105-Raw_Financials!I105</f>
        <v>0</v>
      </c>
      <c r="J105" s="5">
        <f>+final_results!J105-Raw_Financials!J105</f>
        <v>0</v>
      </c>
      <c r="K105" s="5">
        <f>+final_results!K105-Raw_Financials!K105</f>
        <v>0</v>
      </c>
    </row>
    <row r="106" spans="1:11">
      <c r="A106" s="5" t="s">
        <v>104</v>
      </c>
      <c r="B106" s="5">
        <f>+final_results!B106-Raw_Financials!B106</f>
        <v>0</v>
      </c>
      <c r="C106" s="5">
        <f>+final_results!C106-Raw_Financials!C106</f>
        <v>0</v>
      </c>
      <c r="D106" s="5">
        <f>+final_results!D106-Raw_Financials!D106</f>
        <v>0</v>
      </c>
      <c r="E106" s="5">
        <f>+final_results!E106-Raw_Financials!E106</f>
        <v>0</v>
      </c>
      <c r="F106" s="5">
        <f>+final_results!F106-Raw_Financials!F106</f>
        <v>0</v>
      </c>
      <c r="G106" s="5">
        <f>+final_results!G106-Raw_Financials!G106</f>
        <v>0</v>
      </c>
      <c r="H106" s="5">
        <f>+final_results!H106-Raw_Financials!H106</f>
        <v>0</v>
      </c>
      <c r="I106" s="5">
        <f>+final_results!I106-Raw_Financials!I106</f>
        <v>0</v>
      </c>
      <c r="J106" s="5">
        <f>+final_results!J106-Raw_Financials!J106</f>
        <v>0</v>
      </c>
      <c r="K106" s="5">
        <f>+final_results!K106-Raw_Financials!K106</f>
        <v>0</v>
      </c>
    </row>
    <row r="107" spans="1:11">
      <c r="A107" s="6" t="s">
        <v>105</v>
      </c>
      <c r="B107" s="5">
        <f>+final_results!B107-Raw_Financials!B107</f>
        <v>-321.16500000000002</v>
      </c>
      <c r="C107" s="5">
        <f>+final_results!C107-Raw_Financials!C107</f>
        <v>0</v>
      </c>
      <c r="D107" s="5">
        <f>+final_results!D107-Raw_Financials!D107</f>
        <v>0</v>
      </c>
      <c r="E107" s="5">
        <f>+final_results!E107-Raw_Financials!E107</f>
        <v>0</v>
      </c>
      <c r="F107" s="5">
        <f>+final_results!F107-Raw_Financials!F107</f>
        <v>0</v>
      </c>
      <c r="G107" s="5">
        <f>+final_results!G107-Raw_Financials!G107</f>
        <v>0</v>
      </c>
      <c r="H107" s="5">
        <f>+final_results!H107-Raw_Financials!H107</f>
        <v>0</v>
      </c>
      <c r="I107" s="5">
        <f>+final_results!I107-Raw_Financials!I107</f>
        <v>0</v>
      </c>
      <c r="J107" s="5">
        <f>+final_results!J107-Raw_Financials!J107</f>
        <v>0</v>
      </c>
      <c r="K107" s="5">
        <f>+final_results!K107-Raw_Financials!K107</f>
        <v>0</v>
      </c>
    </row>
    <row r="108" spans="1:11">
      <c r="A108" s="7" t="s">
        <v>106</v>
      </c>
      <c r="B108" s="5">
        <f>+final_results!B108-Raw_Financials!B108</f>
        <v>0</v>
      </c>
      <c r="C108" s="5">
        <f>+final_results!C108-Raw_Financials!C108</f>
        <v>0</v>
      </c>
      <c r="D108" s="5">
        <f>+final_results!D108-Raw_Financials!D108</f>
        <v>0</v>
      </c>
      <c r="E108" s="5">
        <f>+final_results!E108-Raw_Financials!E108</f>
        <v>0</v>
      </c>
      <c r="F108" s="5">
        <f>+final_results!F108-Raw_Financials!F108</f>
        <v>0</v>
      </c>
      <c r="G108" s="5">
        <f>+final_results!G108-Raw_Financials!G108</f>
        <v>0</v>
      </c>
      <c r="H108" s="5">
        <f>+final_results!H108-Raw_Financials!H108</f>
        <v>0</v>
      </c>
      <c r="I108" s="5">
        <f>+final_results!I108-Raw_Financials!I108</f>
        <v>0</v>
      </c>
      <c r="J108" s="5">
        <f>+final_results!J108-Raw_Financials!J108</f>
        <v>0</v>
      </c>
      <c r="K108" s="5">
        <f>+final_results!K108-Raw_Financials!K108</f>
        <v>0</v>
      </c>
    </row>
    <row r="109" spans="1:11">
      <c r="A109" s="6" t="s">
        <v>107</v>
      </c>
      <c r="B109" s="5">
        <f>+final_results!B109-Raw_Financials!B109</f>
        <v>-137.1</v>
      </c>
      <c r="C109" s="5">
        <f>+final_results!C109-Raw_Financials!C109</f>
        <v>0</v>
      </c>
      <c r="D109" s="5">
        <f>+final_results!D109-Raw_Financials!D109</f>
        <v>0</v>
      </c>
      <c r="E109" s="5">
        <f>+final_results!E109-Raw_Financials!E109</f>
        <v>0</v>
      </c>
      <c r="F109" s="5">
        <f>+final_results!F109-Raw_Financials!F109</f>
        <v>0</v>
      </c>
      <c r="G109" s="5">
        <f>+final_results!G109-Raw_Financials!G109</f>
        <v>0</v>
      </c>
      <c r="H109" s="5">
        <f>+final_results!H109-Raw_Financials!H109</f>
        <v>0</v>
      </c>
      <c r="I109" s="5">
        <f>+final_results!I109-Raw_Financials!I109</f>
        <v>0</v>
      </c>
      <c r="J109" s="5">
        <f>+final_results!J109-Raw_Financials!J109</f>
        <v>0</v>
      </c>
      <c r="K109" s="5">
        <f>+final_results!K109-Raw_Financials!K109</f>
        <v>0</v>
      </c>
    </row>
    <row r="110" spans="1:11">
      <c r="A110" s="5" t="s">
        <v>108</v>
      </c>
      <c r="B110" s="5">
        <f>+final_results!B110-Raw_Financials!B110</f>
        <v>0</v>
      </c>
      <c r="C110" s="5">
        <f>+final_results!C110-Raw_Financials!C110</f>
        <v>0</v>
      </c>
      <c r="D110" s="5">
        <f>+final_results!D110-Raw_Financials!D110</f>
        <v>0</v>
      </c>
      <c r="E110" s="5">
        <f>+final_results!E110-Raw_Financials!E110</f>
        <v>0</v>
      </c>
      <c r="F110" s="5">
        <f>+final_results!F110-Raw_Financials!F110</f>
        <v>0</v>
      </c>
      <c r="G110" s="5">
        <f>+final_results!G110-Raw_Financials!G110</f>
        <v>0</v>
      </c>
      <c r="H110" s="5">
        <f>+final_results!H110-Raw_Financials!H110</f>
        <v>0</v>
      </c>
      <c r="I110" s="5">
        <f>+final_results!I110-Raw_Financials!I110</f>
        <v>0</v>
      </c>
      <c r="J110" s="5">
        <f>+final_results!J110-Raw_Financials!J110</f>
        <v>0</v>
      </c>
      <c r="K110" s="5">
        <f>+final_results!K110-Raw_Financials!K110</f>
        <v>0</v>
      </c>
    </row>
    <row r="111" spans="1:11">
      <c r="A111" s="7" t="s">
        <v>109</v>
      </c>
      <c r="B111" s="5">
        <f>+final_results!B111-Raw_Financials!B111</f>
        <v>0</v>
      </c>
      <c r="C111" s="5">
        <f>+final_results!C111-Raw_Financials!C111</f>
        <v>0</v>
      </c>
      <c r="D111" s="5">
        <f>+final_results!D111-Raw_Financials!D111</f>
        <v>0</v>
      </c>
      <c r="E111" s="5">
        <f>+final_results!E111-Raw_Financials!E111</f>
        <v>0</v>
      </c>
      <c r="F111" s="5">
        <f>+final_results!F111-Raw_Financials!F111</f>
        <v>0</v>
      </c>
      <c r="G111" s="5">
        <f>+final_results!G111-Raw_Financials!G111</f>
        <v>0</v>
      </c>
      <c r="H111" s="5">
        <f>+final_results!H111-Raw_Financials!H111</f>
        <v>0</v>
      </c>
      <c r="I111" s="5">
        <f>+final_results!I111-Raw_Financials!I111</f>
        <v>0</v>
      </c>
      <c r="J111" s="5">
        <f>+final_results!J111-Raw_Financials!J111</f>
        <v>0</v>
      </c>
      <c r="K111" s="5">
        <f>+final_results!K111-Raw_Financials!K111</f>
        <v>0</v>
      </c>
    </row>
    <row r="112" spans="1:11">
      <c r="A112" s="5" t="s">
        <v>110</v>
      </c>
      <c r="B112" s="5">
        <f>+final_results!B112-Raw_Financials!B112</f>
        <v>0</v>
      </c>
      <c r="C112" s="5">
        <f>+final_results!C112-Raw_Financials!C112</f>
        <v>-445.74753651885709</v>
      </c>
      <c r="D112" s="5">
        <f>+final_results!D112-Raw_Financials!D112</f>
        <v>0</v>
      </c>
      <c r="E112" s="5">
        <f>+final_results!E112-Raw_Financials!E112</f>
        <v>0</v>
      </c>
      <c r="F112" s="5">
        <f>+final_results!F112-Raw_Financials!F112</f>
        <v>-76.425908488889604</v>
      </c>
      <c r="G112" s="5">
        <f>+final_results!G112-Raw_Financials!G112</f>
        <v>0</v>
      </c>
      <c r="H112" s="5">
        <f>+final_results!H112-Raw_Financials!H112</f>
        <v>0</v>
      </c>
      <c r="I112" s="5">
        <f>+final_results!I112-Raw_Financials!I112</f>
        <v>0</v>
      </c>
      <c r="J112" s="5">
        <f>+final_results!J112-Raw_Financials!J112</f>
        <v>0</v>
      </c>
      <c r="K112" s="5">
        <f>+final_results!K112-Raw_Financials!K112</f>
        <v>0</v>
      </c>
    </row>
    <row r="113" spans="1:11">
      <c r="A113" s="6" t="s">
        <v>111</v>
      </c>
      <c r="B113" s="5">
        <f>+final_results!B113-Raw_Financials!B113</f>
        <v>0</v>
      </c>
      <c r="C113" s="5">
        <f>+final_results!C113-Raw_Financials!C113</f>
        <v>0</v>
      </c>
      <c r="D113" s="5">
        <f>+final_results!D113-Raw_Financials!D113</f>
        <v>0</v>
      </c>
      <c r="E113" s="5">
        <f>+final_results!E113-Raw_Financials!E113</f>
        <v>0</v>
      </c>
      <c r="F113" s="5">
        <f>+final_results!F113-Raw_Financials!F113</f>
        <v>0</v>
      </c>
      <c r="G113" s="5">
        <f>+final_results!G113-Raw_Financials!G113</f>
        <v>0</v>
      </c>
      <c r="H113" s="5">
        <f>+final_results!H113-Raw_Financials!H113</f>
        <v>0</v>
      </c>
      <c r="I113" s="5">
        <f>+final_results!I113-Raw_Financials!I113</f>
        <v>0</v>
      </c>
      <c r="J113" s="5">
        <f>+final_results!J113-Raw_Financials!J113</f>
        <v>0</v>
      </c>
      <c r="K113" s="5">
        <f>+final_results!K113-Raw_Financials!K113</f>
        <v>0</v>
      </c>
    </row>
    <row r="114" spans="1:11">
      <c r="A114" s="5" t="s">
        <v>112</v>
      </c>
      <c r="B114" s="5">
        <f>+final_results!B114-Raw_Financials!B114</f>
        <v>0</v>
      </c>
      <c r="C114" s="5">
        <f>+final_results!C114-Raw_Financials!C114</f>
        <v>0</v>
      </c>
      <c r="D114" s="5">
        <f>+final_results!D114-Raw_Financials!D114</f>
        <v>0</v>
      </c>
      <c r="E114" s="5">
        <f>+final_results!E114-Raw_Financials!E114</f>
        <v>0</v>
      </c>
      <c r="F114" s="5">
        <f>+final_results!F114-Raw_Financials!F114</f>
        <v>0</v>
      </c>
      <c r="G114" s="5">
        <f>+final_results!G114-Raw_Financials!G114</f>
        <v>0</v>
      </c>
      <c r="H114" s="5">
        <f>+final_results!H114-Raw_Financials!H114</f>
        <v>0</v>
      </c>
      <c r="I114" s="5">
        <f>+final_results!I114-Raw_Financials!I114</f>
        <v>0</v>
      </c>
      <c r="J114" s="5">
        <f>+final_results!J114-Raw_Financials!J114</f>
        <v>0</v>
      </c>
      <c r="K114" s="5">
        <f>+final_results!K114-Raw_Financials!K114</f>
        <v>0</v>
      </c>
    </row>
    <row r="115" spans="1:11">
      <c r="A115" s="6" t="s">
        <v>113</v>
      </c>
      <c r="B115" s="5">
        <f>+final_results!B115-Raw_Financials!B115</f>
        <v>0</v>
      </c>
      <c r="C115" s="5">
        <f>+final_results!C115-Raw_Financials!C115</f>
        <v>0</v>
      </c>
      <c r="D115" s="5">
        <f>+final_results!D115-Raw_Financials!D115</f>
        <v>0</v>
      </c>
      <c r="E115" s="5">
        <f>+final_results!E115-Raw_Financials!E115</f>
        <v>0</v>
      </c>
      <c r="F115" s="5">
        <f>+final_results!F115-Raw_Financials!F115</f>
        <v>0</v>
      </c>
      <c r="G115" s="5">
        <f>+final_results!G115-Raw_Financials!G115</f>
        <v>0</v>
      </c>
      <c r="H115" s="5">
        <f>+final_results!H115-Raw_Financials!H115</f>
        <v>0</v>
      </c>
      <c r="I115" s="5">
        <f>+final_results!I115-Raw_Financials!I115</f>
        <v>0</v>
      </c>
      <c r="J115" s="5">
        <f>+final_results!J115-Raw_Financials!J115</f>
        <v>0</v>
      </c>
      <c r="K115" s="5">
        <f>+final_results!K115-Raw_Financials!K115</f>
        <v>0</v>
      </c>
    </row>
    <row r="116" spans="1:11">
      <c r="A116" s="5" t="s">
        <v>114</v>
      </c>
      <c r="B116" s="5">
        <f>+final_results!B116-Raw_Financials!B116</f>
        <v>-5630.576</v>
      </c>
      <c r="C116" s="5">
        <f>+final_results!C116-Raw_Financials!C116</f>
        <v>0</v>
      </c>
      <c r="D116" s="5">
        <f>+final_results!D116-Raw_Financials!D116</f>
        <v>0</v>
      </c>
      <c r="E116" s="5">
        <f>+final_results!E116-Raw_Financials!E116</f>
        <v>0</v>
      </c>
      <c r="F116" s="5">
        <f>+final_results!F116-Raw_Financials!F116</f>
        <v>0</v>
      </c>
      <c r="G116" s="5">
        <f>+final_results!G116-Raw_Financials!G116</f>
        <v>0</v>
      </c>
      <c r="H116" s="5">
        <f>+final_results!H116-Raw_Financials!H116</f>
        <v>0</v>
      </c>
      <c r="I116" s="5">
        <f>+final_results!I116-Raw_Financials!I116</f>
        <v>0</v>
      </c>
      <c r="J116" s="5">
        <f>+final_results!J116-Raw_Financials!J116</f>
        <v>0</v>
      </c>
      <c r="K116" s="5">
        <f>+final_results!K116-Raw_Financials!K116</f>
        <v>0</v>
      </c>
    </row>
    <row r="117" spans="1:11">
      <c r="A117" s="6" t="s">
        <v>115</v>
      </c>
      <c r="B117" s="5">
        <f>+final_results!B117-Raw_Financials!B117</f>
        <v>0</v>
      </c>
      <c r="C117" s="5">
        <f>+final_results!C117-Raw_Financials!C117</f>
        <v>0</v>
      </c>
      <c r="D117" s="5">
        <f>+final_results!D117-Raw_Financials!D117</f>
        <v>0</v>
      </c>
      <c r="E117" s="5">
        <f>+final_results!E117-Raw_Financials!E117</f>
        <v>0</v>
      </c>
      <c r="F117" s="5">
        <f>+final_results!F117-Raw_Financials!F117</f>
        <v>0</v>
      </c>
      <c r="G117" s="5">
        <f>+final_results!G117-Raw_Financials!G117</f>
        <v>0</v>
      </c>
      <c r="H117" s="5">
        <f>+final_results!H117-Raw_Financials!H117</f>
        <v>0</v>
      </c>
      <c r="I117" s="5">
        <f>+final_results!I117-Raw_Financials!I117</f>
        <v>0</v>
      </c>
      <c r="J117" s="5">
        <f>+final_results!J117-Raw_Financials!J117</f>
        <v>0</v>
      </c>
      <c r="K117" s="5">
        <f>+final_results!K117-Raw_Financials!K117</f>
        <v>0</v>
      </c>
    </row>
    <row r="118" spans="1:11">
      <c r="A118" s="5" t="s">
        <v>116</v>
      </c>
      <c r="B118" s="5">
        <f>+final_results!B118-Raw_Financials!B118</f>
        <v>0</v>
      </c>
      <c r="C118" s="5">
        <f>+final_results!C118-Raw_Financials!C118</f>
        <v>0</v>
      </c>
      <c r="D118" s="5">
        <f>+final_results!D118-Raw_Financials!D118</f>
        <v>0</v>
      </c>
      <c r="E118" s="5">
        <f>+final_results!E118-Raw_Financials!E118</f>
        <v>0</v>
      </c>
      <c r="F118" s="5">
        <f>+final_results!F118-Raw_Financials!F118</f>
        <v>0</v>
      </c>
      <c r="G118" s="5">
        <f>+final_results!G118-Raw_Financials!G118</f>
        <v>0</v>
      </c>
      <c r="H118" s="5">
        <f>+final_results!H118-Raw_Financials!H118</f>
        <v>0</v>
      </c>
      <c r="I118" s="5">
        <f>+final_results!I118-Raw_Financials!I118</f>
        <v>0</v>
      </c>
      <c r="J118" s="5">
        <f>+final_results!J118-Raw_Financials!J118</f>
        <v>0</v>
      </c>
      <c r="K118" s="5">
        <f>+final_results!K118-Raw_Financials!K118</f>
        <v>0</v>
      </c>
    </row>
    <row r="119" spans="1:11">
      <c r="A119" s="6" t="s">
        <v>117</v>
      </c>
      <c r="B119" s="5">
        <f>+final_results!B119-Raw_Financials!B119</f>
        <v>0</v>
      </c>
      <c r="C119" s="5">
        <f>+final_results!C119-Raw_Financials!C119</f>
        <v>0</v>
      </c>
      <c r="D119" s="5">
        <f>+final_results!D119-Raw_Financials!D119</f>
        <v>0</v>
      </c>
      <c r="E119" s="5">
        <f>+final_results!E119-Raw_Financials!E119</f>
        <v>0</v>
      </c>
      <c r="F119" s="5">
        <f>+final_results!F119-Raw_Financials!F119</f>
        <v>0</v>
      </c>
      <c r="G119" s="5">
        <f>+final_results!G119-Raw_Financials!G119</f>
        <v>0</v>
      </c>
      <c r="H119" s="5">
        <f>+final_results!H119-Raw_Financials!H119</f>
        <v>0</v>
      </c>
      <c r="I119" s="5">
        <f>+final_results!I119-Raw_Financials!I119</f>
        <v>0</v>
      </c>
      <c r="J119" s="5">
        <f>+final_results!J119-Raw_Financials!J119</f>
        <v>0</v>
      </c>
      <c r="K119" s="5">
        <f>+final_results!K119-Raw_Financials!K119</f>
        <v>0</v>
      </c>
    </row>
    <row r="120" spans="1:11">
      <c r="A120" s="5" t="s">
        <v>118</v>
      </c>
      <c r="B120" s="5">
        <f>+final_results!B120-Raw_Financials!B120</f>
        <v>0</v>
      </c>
      <c r="C120" s="5">
        <f>+final_results!C120-Raw_Financials!C120</f>
        <v>0</v>
      </c>
      <c r="D120" s="5">
        <f>+final_results!D120-Raw_Financials!D120</f>
        <v>0</v>
      </c>
      <c r="E120" s="5">
        <f>+final_results!E120-Raw_Financials!E120</f>
        <v>0</v>
      </c>
      <c r="F120" s="5">
        <f>+final_results!F120-Raw_Financials!F120</f>
        <v>0</v>
      </c>
      <c r="G120" s="5">
        <f>+final_results!G120-Raw_Financials!G120</f>
        <v>0</v>
      </c>
      <c r="H120" s="5">
        <f>+final_results!H120-Raw_Financials!H120</f>
        <v>0</v>
      </c>
      <c r="I120" s="5">
        <f>+final_results!I120-Raw_Financials!I120</f>
        <v>0</v>
      </c>
      <c r="J120" s="5">
        <f>+final_results!J120-Raw_Financials!J120</f>
        <v>0</v>
      </c>
      <c r="K120" s="5">
        <f>+final_results!K120-Raw_Financials!K120</f>
        <v>0</v>
      </c>
    </row>
    <row r="121" spans="1:11">
      <c r="A121" s="6" t="s">
        <v>119</v>
      </c>
      <c r="B121" s="5">
        <f>+final_results!B121-Raw_Financials!B121</f>
        <v>0</v>
      </c>
      <c r="C121" s="5">
        <f>+final_results!C121-Raw_Financials!C121</f>
        <v>0</v>
      </c>
      <c r="D121" s="5">
        <f>+final_results!D121-Raw_Financials!D121</f>
        <v>0</v>
      </c>
      <c r="E121" s="5">
        <f>+final_results!E121-Raw_Financials!E121</f>
        <v>0</v>
      </c>
      <c r="F121" s="5">
        <f>+final_results!F121-Raw_Financials!F121</f>
        <v>0</v>
      </c>
      <c r="G121" s="5">
        <f>+final_results!G121-Raw_Financials!G121</f>
        <v>0</v>
      </c>
      <c r="H121" s="5">
        <f>+final_results!H121-Raw_Financials!H121</f>
        <v>0</v>
      </c>
      <c r="I121" s="5">
        <f>+final_results!I121-Raw_Financials!I121</f>
        <v>0</v>
      </c>
      <c r="J121" s="5">
        <f>+final_results!J121-Raw_Financials!J121</f>
        <v>0</v>
      </c>
      <c r="K121" s="5">
        <f>+final_results!K121-Raw_Financials!K121</f>
        <v>0</v>
      </c>
    </row>
    <row r="122" spans="1:11">
      <c r="A122" s="7" t="s">
        <v>120</v>
      </c>
      <c r="B122" s="5">
        <f>+final_results!B122-Raw_Financials!B122</f>
        <v>-1387.4715455358428</v>
      </c>
      <c r="C122" s="5">
        <f>+final_results!C122-Raw_Financials!C122</f>
        <v>0</v>
      </c>
      <c r="D122" s="5">
        <f>+final_results!D122-Raw_Financials!D122</f>
        <v>0</v>
      </c>
      <c r="E122" s="5">
        <f>+final_results!E122-Raw_Financials!E122</f>
        <v>0</v>
      </c>
      <c r="F122" s="5">
        <f>+final_results!F122-Raw_Financials!F122</f>
        <v>0</v>
      </c>
      <c r="G122" s="5">
        <f>+final_results!G122-Raw_Financials!G122</f>
        <v>0</v>
      </c>
      <c r="H122" s="5">
        <f>+final_results!H122-Raw_Financials!H122</f>
        <v>0</v>
      </c>
      <c r="I122" s="5">
        <f>+final_results!I122-Raw_Financials!I122</f>
        <v>0</v>
      </c>
      <c r="J122" s="5">
        <f>+final_results!J122-Raw_Financials!J122</f>
        <v>0</v>
      </c>
      <c r="K122" s="5">
        <f>+final_results!K122-Raw_Financials!K122</f>
        <v>0</v>
      </c>
    </row>
    <row r="123" spans="1:11">
      <c r="A123" s="6" t="s">
        <v>121</v>
      </c>
      <c r="B123" s="5">
        <f>+final_results!B123-Raw_Financials!B123</f>
        <v>0</v>
      </c>
      <c r="C123" s="5">
        <f>+final_results!C123-Raw_Financials!C123</f>
        <v>0</v>
      </c>
      <c r="D123" s="5">
        <f>+final_results!D123-Raw_Financials!D123</f>
        <v>0</v>
      </c>
      <c r="E123" s="5">
        <f>+final_results!E123-Raw_Financials!E123</f>
        <v>0</v>
      </c>
      <c r="F123" s="5">
        <f>+final_results!F123-Raw_Financials!F123</f>
        <v>0</v>
      </c>
      <c r="G123" s="5">
        <f>+final_results!G123-Raw_Financials!G123</f>
        <v>0</v>
      </c>
      <c r="H123" s="5">
        <f>+final_results!H123-Raw_Financials!H123</f>
        <v>0</v>
      </c>
      <c r="I123" s="5">
        <f>+final_results!I123-Raw_Financials!I123</f>
        <v>0</v>
      </c>
      <c r="J123" s="5">
        <f>+final_results!J123-Raw_Financials!J123</f>
        <v>0</v>
      </c>
      <c r="K123" s="5">
        <f>+final_results!K123-Raw_Financials!K123</f>
        <v>0</v>
      </c>
    </row>
    <row r="124" spans="1:11">
      <c r="A124" s="5" t="s">
        <v>122</v>
      </c>
      <c r="B124" s="5">
        <f>+final_results!B124-Raw_Financials!B124</f>
        <v>0</v>
      </c>
      <c r="C124" s="5">
        <f>+final_results!C124-Raw_Financials!C124</f>
        <v>0</v>
      </c>
      <c r="D124" s="5">
        <f>+final_results!D124-Raw_Financials!D124</f>
        <v>0</v>
      </c>
      <c r="E124" s="5">
        <f>+final_results!E124-Raw_Financials!E124</f>
        <v>0</v>
      </c>
      <c r="F124" s="5">
        <f>+final_results!F124-Raw_Financials!F124</f>
        <v>0</v>
      </c>
      <c r="G124" s="5">
        <f>+final_results!G124-Raw_Financials!G124</f>
        <v>0</v>
      </c>
      <c r="H124" s="5">
        <f>+final_results!H124-Raw_Financials!H124</f>
        <v>0</v>
      </c>
      <c r="I124" s="5">
        <f>+final_results!I124-Raw_Financials!I124</f>
        <v>0</v>
      </c>
      <c r="J124" s="5">
        <f>+final_results!J124-Raw_Financials!J124</f>
        <v>0</v>
      </c>
      <c r="K124" s="5">
        <f>+final_results!K124-Raw_Financials!K124</f>
        <v>0</v>
      </c>
    </row>
    <row r="125" spans="1:11">
      <c r="A125" s="6" t="s">
        <v>123</v>
      </c>
      <c r="B125" s="5">
        <f>+final_results!B125-Raw_Financials!B125</f>
        <v>0</v>
      </c>
      <c r="C125" s="5">
        <f>+final_results!C125-Raw_Financials!C125</f>
        <v>0</v>
      </c>
      <c r="D125" s="5">
        <f>+final_results!D125-Raw_Financials!D125</f>
        <v>0</v>
      </c>
      <c r="E125" s="5">
        <f>+final_results!E125-Raw_Financials!E125</f>
        <v>0</v>
      </c>
      <c r="F125" s="5">
        <f>+final_results!F125-Raw_Financials!F125</f>
        <v>0</v>
      </c>
      <c r="G125" s="5">
        <f>+final_results!G125-Raw_Financials!G125</f>
        <v>0</v>
      </c>
      <c r="H125" s="5">
        <f>+final_results!H125-Raw_Financials!H125</f>
        <v>0</v>
      </c>
      <c r="I125" s="5">
        <f>+final_results!I125-Raw_Financials!I125</f>
        <v>0</v>
      </c>
      <c r="J125" s="5">
        <f>+final_results!J125-Raw_Financials!J125</f>
        <v>0</v>
      </c>
      <c r="K125" s="5">
        <f>+final_results!K125-Raw_Financials!K125</f>
        <v>0</v>
      </c>
    </row>
    <row r="126" spans="1:11">
      <c r="A126" s="5" t="s">
        <v>124</v>
      </c>
      <c r="B126" s="5">
        <f>+final_results!B126-Raw_Financials!B126</f>
        <v>0</v>
      </c>
      <c r="C126" s="5">
        <f>+final_results!C126-Raw_Financials!C126</f>
        <v>0</v>
      </c>
      <c r="D126" s="5">
        <f>+final_results!D126-Raw_Financials!D126</f>
        <v>0</v>
      </c>
      <c r="E126" s="5">
        <f>+final_results!E126-Raw_Financials!E126</f>
        <v>0</v>
      </c>
      <c r="F126" s="5">
        <f>+final_results!F126-Raw_Financials!F126</f>
        <v>0</v>
      </c>
      <c r="G126" s="5">
        <f>+final_results!G126-Raw_Financials!G126</f>
        <v>0</v>
      </c>
      <c r="H126" s="5">
        <f>+final_results!H126-Raw_Financials!H126</f>
        <v>0</v>
      </c>
      <c r="I126" s="5">
        <f>+final_results!I126-Raw_Financials!I126</f>
        <v>0</v>
      </c>
      <c r="J126" s="5">
        <f>+final_results!J126-Raw_Financials!J126</f>
        <v>0</v>
      </c>
      <c r="K126" s="5">
        <f>+final_results!K126-Raw_Financials!K126</f>
        <v>0</v>
      </c>
    </row>
    <row r="127" spans="1:11">
      <c r="A127" s="6" t="s">
        <v>125</v>
      </c>
      <c r="B127" s="5">
        <f>+final_results!B127-Raw_Financials!B127</f>
        <v>0</v>
      </c>
      <c r="C127" s="5">
        <f>+final_results!C127-Raw_Financials!C127</f>
        <v>0</v>
      </c>
      <c r="D127" s="5">
        <f>+final_results!D127-Raw_Financials!D127</f>
        <v>0</v>
      </c>
      <c r="E127" s="5">
        <f>+final_results!E127-Raw_Financials!E127</f>
        <v>0</v>
      </c>
      <c r="F127" s="5">
        <f>+final_results!F127-Raw_Financials!F127</f>
        <v>0</v>
      </c>
      <c r="G127" s="5">
        <f>+final_results!G127-Raw_Financials!G127</f>
        <v>0</v>
      </c>
      <c r="H127" s="5">
        <f>+final_results!H127-Raw_Financials!H127</f>
        <v>0</v>
      </c>
      <c r="I127" s="5">
        <f>+final_results!I127-Raw_Financials!I127</f>
        <v>0</v>
      </c>
      <c r="J127" s="5">
        <f>+final_results!J127-Raw_Financials!J127</f>
        <v>0</v>
      </c>
      <c r="K127" s="5">
        <f>+final_results!K127-Raw_Financials!K127</f>
        <v>0</v>
      </c>
    </row>
    <row r="128" spans="1:11">
      <c r="A128" s="5" t="s">
        <v>126</v>
      </c>
      <c r="B128" s="5">
        <f>+final_results!B128-Raw_Financials!B128</f>
        <v>0</v>
      </c>
      <c r="C128" s="5">
        <f>+final_results!C128-Raw_Financials!C128</f>
        <v>0</v>
      </c>
      <c r="D128" s="5">
        <f>+final_results!D128-Raw_Financials!D128</f>
        <v>0</v>
      </c>
      <c r="E128" s="5">
        <f>+final_results!E128-Raw_Financials!E128</f>
        <v>0</v>
      </c>
      <c r="F128" s="5">
        <f>+final_results!F128-Raw_Financials!F128</f>
        <v>0</v>
      </c>
      <c r="G128" s="5">
        <f>+final_results!G128-Raw_Financials!G128</f>
        <v>0</v>
      </c>
      <c r="H128" s="5">
        <f>+final_results!H128-Raw_Financials!H128</f>
        <v>0</v>
      </c>
      <c r="I128" s="5">
        <f>+final_results!I128-Raw_Financials!I128</f>
        <v>0</v>
      </c>
      <c r="J128" s="5">
        <f>+final_results!J128-Raw_Financials!J128</f>
        <v>0</v>
      </c>
      <c r="K128" s="5">
        <f>+final_results!K128-Raw_Financials!K128</f>
        <v>0</v>
      </c>
    </row>
    <row r="129" spans="1:11">
      <c r="A129" s="6" t="s">
        <v>127</v>
      </c>
      <c r="B129" s="5">
        <f>+final_results!B129-Raw_Financials!B129</f>
        <v>0</v>
      </c>
      <c r="C129" s="5">
        <f>+final_results!C129-Raw_Financials!C129</f>
        <v>0</v>
      </c>
      <c r="D129" s="5">
        <f>+final_results!D129-Raw_Financials!D129</f>
        <v>0</v>
      </c>
      <c r="E129" s="5">
        <f>+final_results!E129-Raw_Financials!E129</f>
        <v>0</v>
      </c>
      <c r="F129" s="5">
        <f>+final_results!F129-Raw_Financials!F129</f>
        <v>0</v>
      </c>
      <c r="G129" s="5">
        <f>+final_results!G129-Raw_Financials!G129</f>
        <v>0</v>
      </c>
      <c r="H129" s="5">
        <f>+final_results!H129-Raw_Financials!H129</f>
        <v>0</v>
      </c>
      <c r="I129" s="5">
        <f>+final_results!I129-Raw_Financials!I129</f>
        <v>0</v>
      </c>
      <c r="J129" s="5">
        <f>+final_results!J129-Raw_Financials!J129</f>
        <v>0</v>
      </c>
      <c r="K129" s="5">
        <f>+final_results!K129-Raw_Financials!K129</f>
        <v>0</v>
      </c>
    </row>
    <row r="130" spans="1:11">
      <c r="A130" s="5" t="s">
        <v>128</v>
      </c>
      <c r="B130" s="5">
        <f>+final_results!B130-Raw_Financials!B130</f>
        <v>0</v>
      </c>
      <c r="C130" s="5">
        <f>+final_results!C130-Raw_Financials!C130</f>
        <v>0</v>
      </c>
      <c r="D130" s="5">
        <f>+final_results!D130-Raw_Financials!D130</f>
        <v>0</v>
      </c>
      <c r="E130" s="5">
        <f>+final_results!E130-Raw_Financials!E130</f>
        <v>0</v>
      </c>
      <c r="F130" s="5">
        <f>+final_results!F130-Raw_Financials!F130</f>
        <v>0</v>
      </c>
      <c r="G130" s="5">
        <f>+final_results!G130-Raw_Financials!G130</f>
        <v>0</v>
      </c>
      <c r="H130" s="5">
        <f>+final_results!H130-Raw_Financials!H130</f>
        <v>0</v>
      </c>
      <c r="I130" s="5">
        <f>+final_results!I130-Raw_Financials!I130</f>
        <v>0</v>
      </c>
      <c r="J130" s="5">
        <f>+final_results!J130-Raw_Financials!J130</f>
        <v>0</v>
      </c>
      <c r="K130" s="5">
        <f>+final_results!K130-Raw_Financials!K130</f>
        <v>0</v>
      </c>
    </row>
    <row r="131" spans="1:11">
      <c r="A131" s="6" t="s">
        <v>129</v>
      </c>
      <c r="B131" s="5">
        <f>+final_results!B131-Raw_Financials!B131</f>
        <v>0</v>
      </c>
      <c r="C131" s="5">
        <f>+final_results!C131-Raw_Financials!C131</f>
        <v>0</v>
      </c>
      <c r="D131" s="5">
        <f>+final_results!D131-Raw_Financials!D131</f>
        <v>0</v>
      </c>
      <c r="E131" s="5">
        <f>+final_results!E131-Raw_Financials!E131</f>
        <v>0</v>
      </c>
      <c r="F131" s="5">
        <f>+final_results!F131-Raw_Financials!F131</f>
        <v>0</v>
      </c>
      <c r="G131" s="5">
        <f>+final_results!G131-Raw_Financials!G131</f>
        <v>0</v>
      </c>
      <c r="H131" s="5">
        <f>+final_results!H131-Raw_Financials!H131</f>
        <v>0</v>
      </c>
      <c r="I131" s="5">
        <f>+final_results!I131-Raw_Financials!I131</f>
        <v>0</v>
      </c>
      <c r="J131" s="5">
        <f>+final_results!J131-Raw_Financials!J131</f>
        <v>0</v>
      </c>
      <c r="K131" s="5">
        <f>+final_results!K131-Raw_Financials!K131</f>
        <v>0</v>
      </c>
    </row>
    <row r="132" spans="1:11">
      <c r="A132" s="5" t="s">
        <v>130</v>
      </c>
      <c r="B132" s="5">
        <f>+final_results!B132-Raw_Financials!B132</f>
        <v>-615.99900000000002</v>
      </c>
      <c r="C132" s="5">
        <f>+final_results!C132-Raw_Financials!C132</f>
        <v>-374.96499999999997</v>
      </c>
      <c r="D132" s="5">
        <f>+final_results!D132-Raw_Financials!D132</f>
        <v>0</v>
      </c>
      <c r="E132" s="5">
        <f>+final_results!E132-Raw_Financials!E132</f>
        <v>0</v>
      </c>
      <c r="F132" s="5">
        <f>+final_results!F132-Raw_Financials!F132</f>
        <v>0</v>
      </c>
      <c r="G132" s="5">
        <f>+final_results!G132-Raw_Financials!G132</f>
        <v>0</v>
      </c>
      <c r="H132" s="5">
        <f>+final_results!H132-Raw_Financials!H132</f>
        <v>0</v>
      </c>
      <c r="I132" s="5">
        <f>+final_results!I132-Raw_Financials!I132</f>
        <v>0</v>
      </c>
      <c r="J132" s="5">
        <f>+final_results!J132-Raw_Financials!J132</f>
        <v>0</v>
      </c>
      <c r="K132" s="5">
        <f>+final_results!K132-Raw_Financials!K132</f>
        <v>0</v>
      </c>
    </row>
    <row r="133" spans="1:11">
      <c r="A133" s="6" t="s">
        <v>131</v>
      </c>
      <c r="B133" s="5">
        <f>+final_results!B133-Raw_Financials!B133</f>
        <v>0</v>
      </c>
      <c r="C133" s="5">
        <f>+final_results!C133-Raw_Financials!C133</f>
        <v>0</v>
      </c>
      <c r="D133" s="5">
        <f>+final_results!D133-Raw_Financials!D133</f>
        <v>0</v>
      </c>
      <c r="E133" s="5">
        <f>+final_results!E133-Raw_Financials!E133</f>
        <v>0</v>
      </c>
      <c r="F133" s="5">
        <f>+final_results!F133-Raw_Financials!F133</f>
        <v>0</v>
      </c>
      <c r="G133" s="5">
        <f>+final_results!G133-Raw_Financials!G133</f>
        <v>0</v>
      </c>
      <c r="H133" s="5">
        <f>+final_results!H133-Raw_Financials!H133</f>
        <v>0</v>
      </c>
      <c r="I133" s="5">
        <f>+final_results!I133-Raw_Financials!I133</f>
        <v>0</v>
      </c>
      <c r="J133" s="5">
        <f>+final_results!J133-Raw_Financials!J133</f>
        <v>0</v>
      </c>
      <c r="K133" s="5">
        <f>+final_results!K133-Raw_Financials!K133</f>
        <v>0</v>
      </c>
    </row>
    <row r="134" spans="1:11">
      <c r="A134" s="5" t="s">
        <v>132</v>
      </c>
      <c r="B134" s="5">
        <f>+final_results!B134-Raw_Financials!B134</f>
        <v>0</v>
      </c>
      <c r="C134" s="5">
        <f>+final_results!C134-Raw_Financials!C134</f>
        <v>0</v>
      </c>
      <c r="D134" s="5">
        <f>+final_results!D134-Raw_Financials!D134</f>
        <v>0</v>
      </c>
      <c r="E134" s="5">
        <f>+final_results!E134-Raw_Financials!E134</f>
        <v>0</v>
      </c>
      <c r="F134" s="5">
        <f>+final_results!F134-Raw_Financials!F134</f>
        <v>0</v>
      </c>
      <c r="G134" s="5">
        <f>+final_results!G134-Raw_Financials!G134</f>
        <v>0</v>
      </c>
      <c r="H134" s="5">
        <f>+final_results!H134-Raw_Financials!H134</f>
        <v>0</v>
      </c>
      <c r="I134" s="5">
        <f>+final_results!I134-Raw_Financials!I134</f>
        <v>0</v>
      </c>
      <c r="J134" s="5">
        <f>+final_results!J134-Raw_Financials!J134</f>
        <v>0</v>
      </c>
      <c r="K134" s="5">
        <f>+final_results!K134-Raw_Financials!K134</f>
        <v>0</v>
      </c>
    </row>
    <row r="135" spans="1:11">
      <c r="A135" s="7" t="s">
        <v>133</v>
      </c>
      <c r="B135" s="5">
        <f>+final_results!B135-Raw_Financials!B135</f>
        <v>0</v>
      </c>
      <c r="C135" s="5">
        <f>+final_results!C135-Raw_Financials!C135</f>
        <v>0</v>
      </c>
      <c r="D135" s="5">
        <f>+final_results!D135-Raw_Financials!D135</f>
        <v>0</v>
      </c>
      <c r="E135" s="5">
        <f>+final_results!E135-Raw_Financials!E135</f>
        <v>0</v>
      </c>
      <c r="F135" s="5">
        <f>+final_results!F135-Raw_Financials!F135</f>
        <v>0</v>
      </c>
      <c r="G135" s="5">
        <f>+final_results!G135-Raw_Financials!G135</f>
        <v>0</v>
      </c>
      <c r="H135" s="5">
        <f>+final_results!H135-Raw_Financials!H135</f>
        <v>0</v>
      </c>
      <c r="I135" s="5">
        <f>+final_results!I135-Raw_Financials!I135</f>
        <v>0</v>
      </c>
      <c r="J135" s="5">
        <f>+final_results!J135-Raw_Financials!J135</f>
        <v>0</v>
      </c>
      <c r="K135" s="5">
        <f>+final_results!K135-Raw_Financials!K135</f>
        <v>0</v>
      </c>
    </row>
    <row r="136" spans="1:11">
      <c r="A136" s="5" t="s">
        <v>134</v>
      </c>
      <c r="B136" s="5">
        <f>+final_results!B136-Raw_Financials!B136</f>
        <v>-26.754999999999999</v>
      </c>
      <c r="C136" s="5">
        <f>+final_results!C136-Raw_Financials!C136</f>
        <v>0</v>
      </c>
      <c r="D136" s="5">
        <f>+final_results!D136-Raw_Financials!D136</f>
        <v>0</v>
      </c>
      <c r="E136" s="5">
        <f>+final_results!E136-Raw_Financials!E136</f>
        <v>0</v>
      </c>
      <c r="F136" s="5">
        <f>+final_results!F136-Raw_Financials!F136</f>
        <v>0</v>
      </c>
      <c r="G136" s="5">
        <f>+final_results!G136-Raw_Financials!G136</f>
        <v>0</v>
      </c>
      <c r="H136" s="5">
        <f>+final_results!H136-Raw_Financials!H136</f>
        <v>0</v>
      </c>
      <c r="I136" s="5">
        <f>+final_results!I136-Raw_Financials!I136</f>
        <v>0</v>
      </c>
      <c r="J136" s="5">
        <f>+final_results!J136-Raw_Financials!J136</f>
        <v>0</v>
      </c>
      <c r="K136" s="5">
        <f>+final_results!K136-Raw_Financials!K136</f>
        <v>0</v>
      </c>
    </row>
    <row r="137" spans="1:11">
      <c r="A137" s="6" t="s">
        <v>135</v>
      </c>
      <c r="B137" s="5">
        <f>+final_results!B137-Raw_Financials!B137</f>
        <v>0</v>
      </c>
      <c r="C137" s="5">
        <f>+final_results!C137-Raw_Financials!C137</f>
        <v>0</v>
      </c>
      <c r="D137" s="5">
        <f>+final_results!D137-Raw_Financials!D137</f>
        <v>0</v>
      </c>
      <c r="E137" s="5">
        <f>+final_results!E137-Raw_Financials!E137</f>
        <v>0</v>
      </c>
      <c r="F137" s="5">
        <f>+final_results!F137-Raw_Financials!F137</f>
        <v>0</v>
      </c>
      <c r="G137" s="5">
        <f>+final_results!G137-Raw_Financials!G137</f>
        <v>0</v>
      </c>
      <c r="H137" s="5">
        <f>+final_results!H137-Raw_Financials!H137</f>
        <v>0</v>
      </c>
      <c r="I137" s="5">
        <f>+final_results!I137-Raw_Financials!I137</f>
        <v>0</v>
      </c>
      <c r="J137" s="5">
        <f>+final_results!J137-Raw_Financials!J137</f>
        <v>0</v>
      </c>
      <c r="K137" s="5">
        <f>+final_results!K137-Raw_Financials!K137</f>
        <v>0</v>
      </c>
    </row>
    <row r="138" spans="1:11">
      <c r="A138" s="7" t="s">
        <v>136</v>
      </c>
      <c r="B138" s="5">
        <f>+final_results!B138-Raw_Financials!B138</f>
        <v>-26.754999999999999</v>
      </c>
      <c r="C138" s="5">
        <f>+final_results!C138-Raw_Financials!C138</f>
        <v>0</v>
      </c>
      <c r="D138" s="5">
        <f>+final_results!D138-Raw_Financials!D138</f>
        <v>0</v>
      </c>
      <c r="E138" s="5">
        <f>+final_results!E138-Raw_Financials!E138</f>
        <v>0</v>
      </c>
      <c r="F138" s="5">
        <f>+final_results!F138-Raw_Financials!F138</f>
        <v>0</v>
      </c>
      <c r="G138" s="5">
        <f>+final_results!G138-Raw_Financials!G138</f>
        <v>0</v>
      </c>
      <c r="H138" s="5">
        <f>+final_results!H138-Raw_Financials!H138</f>
        <v>0</v>
      </c>
      <c r="I138" s="5">
        <f>+final_results!I138-Raw_Financials!I138</f>
        <v>0</v>
      </c>
      <c r="J138" s="5">
        <f>+final_results!J138-Raw_Financials!J138</f>
        <v>0</v>
      </c>
      <c r="K138" s="5">
        <f>+final_results!K138-Raw_Financials!K138</f>
        <v>0</v>
      </c>
    </row>
    <row r="139" spans="1:11">
      <c r="A139" s="6" t="s">
        <v>137</v>
      </c>
      <c r="B139" s="5">
        <f>+final_results!B139-Raw_Financials!B139</f>
        <v>0</v>
      </c>
      <c r="C139" s="5">
        <f>+final_results!C139-Raw_Financials!C139</f>
        <v>0</v>
      </c>
      <c r="D139" s="5">
        <f>+final_results!D139-Raw_Financials!D139</f>
        <v>0</v>
      </c>
      <c r="E139" s="5">
        <f>+final_results!E139-Raw_Financials!E139</f>
        <v>0</v>
      </c>
      <c r="F139" s="5">
        <f>+final_results!F139-Raw_Financials!F139</f>
        <v>0</v>
      </c>
      <c r="G139" s="5">
        <f>+final_results!G139-Raw_Financials!G139</f>
        <v>0</v>
      </c>
      <c r="H139" s="5">
        <f>+final_results!H139-Raw_Financials!H139</f>
        <v>0</v>
      </c>
      <c r="I139" s="5">
        <f>+final_results!I139-Raw_Financials!I139</f>
        <v>0</v>
      </c>
      <c r="J139" s="5">
        <f>+final_results!J139-Raw_Financials!J139</f>
        <v>0</v>
      </c>
      <c r="K139" s="5">
        <f>+final_results!K139-Raw_Financials!K139</f>
        <v>-286849.75787896302</v>
      </c>
    </row>
    <row r="140" spans="1:11">
      <c r="A140" s="7" t="s">
        <v>138</v>
      </c>
      <c r="B140" s="5">
        <f>+final_results!B140-Raw_Financials!B140</f>
        <v>0</v>
      </c>
      <c r="C140" s="5">
        <f>+final_results!C140-Raw_Financials!C140</f>
        <v>0</v>
      </c>
      <c r="D140" s="5">
        <f>+final_results!D140-Raw_Financials!D140</f>
        <v>0</v>
      </c>
      <c r="E140" s="5">
        <f>+final_results!E140-Raw_Financials!E140</f>
        <v>0</v>
      </c>
      <c r="F140" s="5">
        <f>+final_results!F140-Raw_Financials!F140</f>
        <v>0</v>
      </c>
      <c r="G140" s="5">
        <f>+final_results!G140-Raw_Financials!G140</f>
        <v>0</v>
      </c>
      <c r="H140" s="5">
        <f>+final_results!H140-Raw_Financials!H140</f>
        <v>0</v>
      </c>
      <c r="I140" s="5">
        <f>+final_results!I140-Raw_Financials!I140</f>
        <v>0</v>
      </c>
      <c r="J140" s="5">
        <f>+final_results!J140-Raw_Financials!J140</f>
        <v>0</v>
      </c>
      <c r="K140" s="5">
        <f>+final_results!K140-Raw_Financials!K140</f>
        <v>-286849.75787896302</v>
      </c>
    </row>
    <row r="141" spans="1:11">
      <c r="A141" s="6" t="s">
        <v>139</v>
      </c>
      <c r="B141" s="5">
        <f>+final_results!B141-Raw_Financials!B141</f>
        <v>0</v>
      </c>
      <c r="C141" s="5">
        <f>+final_results!C141-Raw_Financials!C141</f>
        <v>0</v>
      </c>
      <c r="D141" s="5">
        <f>+final_results!D141-Raw_Financials!D141</f>
        <v>0</v>
      </c>
      <c r="E141" s="5">
        <f>+final_results!E141-Raw_Financials!E141</f>
        <v>0</v>
      </c>
      <c r="F141" s="5">
        <f>+final_results!F141-Raw_Financials!F141</f>
        <v>0</v>
      </c>
      <c r="G141" s="5">
        <f>+final_results!G141-Raw_Financials!G141</f>
        <v>0</v>
      </c>
      <c r="H141" s="5">
        <f>+final_results!H141-Raw_Financials!H141</f>
        <v>0</v>
      </c>
      <c r="I141" s="5">
        <f>+final_results!I141-Raw_Financials!I141</f>
        <v>0</v>
      </c>
      <c r="J141" s="5">
        <f>+final_results!J141-Raw_Financials!J141</f>
        <v>0</v>
      </c>
      <c r="K141" s="5">
        <f>+final_results!K141-Raw_Financials!K141</f>
        <v>0</v>
      </c>
    </row>
    <row r="142" spans="1:11">
      <c r="A142" s="5" t="s">
        <v>140</v>
      </c>
      <c r="B142" s="5">
        <f>+final_results!B142-Raw_Financials!B142</f>
        <v>0</v>
      </c>
      <c r="C142" s="5">
        <f>+final_results!C142-Raw_Financials!C142</f>
        <v>0</v>
      </c>
      <c r="D142" s="5">
        <f>+final_results!D142-Raw_Financials!D142</f>
        <v>0</v>
      </c>
      <c r="E142" s="5">
        <f>+final_results!E142-Raw_Financials!E142</f>
        <v>0</v>
      </c>
      <c r="F142" s="5">
        <f>+final_results!F142-Raw_Financials!F142</f>
        <v>0</v>
      </c>
      <c r="G142" s="5">
        <f>+final_results!G142-Raw_Financials!G142</f>
        <v>0</v>
      </c>
      <c r="H142" s="5">
        <f>+final_results!H142-Raw_Financials!H142</f>
        <v>0</v>
      </c>
      <c r="I142" s="5">
        <f>+final_results!I142-Raw_Financials!I142</f>
        <v>0</v>
      </c>
      <c r="J142" s="5">
        <f>+final_results!J142-Raw_Financials!J142</f>
        <v>0</v>
      </c>
      <c r="K142" s="5">
        <f>+final_results!K142-Raw_Financials!K142</f>
        <v>-65936.394148383522</v>
      </c>
    </row>
    <row r="143" spans="1:11">
      <c r="A143" s="6" t="s">
        <v>141</v>
      </c>
      <c r="B143" s="5">
        <f>+final_results!B143-Raw_Financials!B143</f>
        <v>0</v>
      </c>
      <c r="C143" s="5">
        <f>+final_results!C143-Raw_Financials!C143</f>
        <v>0</v>
      </c>
      <c r="D143" s="5">
        <f>+final_results!D143-Raw_Financials!D143</f>
        <v>0</v>
      </c>
      <c r="E143" s="5">
        <f>+final_results!E143-Raw_Financials!E143</f>
        <v>0</v>
      </c>
      <c r="F143" s="5">
        <f>+final_results!F143-Raw_Financials!F143</f>
        <v>0</v>
      </c>
      <c r="G143" s="5">
        <f>+final_results!G143-Raw_Financials!G143</f>
        <v>0</v>
      </c>
      <c r="H143" s="5">
        <f>+final_results!H143-Raw_Financials!H143</f>
        <v>0</v>
      </c>
      <c r="I143" s="5">
        <f>+final_results!I143-Raw_Financials!I143</f>
        <v>-296867.68249197653</v>
      </c>
      <c r="J143" s="5">
        <f>+final_results!J143-Raw_Financials!J143</f>
        <v>-115697.5047889282</v>
      </c>
      <c r="K143" s="5">
        <f>+final_results!K143-Raw_Financials!K143</f>
        <v>0</v>
      </c>
    </row>
    <row r="144" spans="1:11">
      <c r="A144" s="5" t="s">
        <v>142</v>
      </c>
      <c r="B144" s="5">
        <f>+final_results!B144-Raw_Financials!B144</f>
        <v>0</v>
      </c>
      <c r="C144" s="5">
        <f>+final_results!C144-Raw_Financials!C144</f>
        <v>0</v>
      </c>
      <c r="D144" s="5">
        <f>+final_results!D144-Raw_Financials!D144</f>
        <v>0</v>
      </c>
      <c r="E144" s="5">
        <f>+final_results!E144-Raw_Financials!E144</f>
        <v>0</v>
      </c>
      <c r="F144" s="5">
        <f>+final_results!F144-Raw_Financials!F144</f>
        <v>0</v>
      </c>
      <c r="G144" s="5">
        <f>+final_results!G144-Raw_Financials!G144</f>
        <v>0</v>
      </c>
      <c r="H144" s="5">
        <f>+final_results!H144-Raw_Financials!H144</f>
        <v>0</v>
      </c>
      <c r="I144" s="5">
        <f>+final_results!I144-Raw_Financials!I144</f>
        <v>0</v>
      </c>
      <c r="J144" s="5">
        <f>+final_results!J144-Raw_Financials!J144</f>
        <v>-54240.529963884561</v>
      </c>
      <c r="K144" s="5">
        <f>+final_results!K144-Raw_Financials!K144</f>
        <v>0</v>
      </c>
    </row>
    <row r="145" spans="1:11">
      <c r="A145" s="6" t="s">
        <v>143</v>
      </c>
      <c r="B145" s="5">
        <f>+final_results!B145-Raw_Financials!B145</f>
        <v>0</v>
      </c>
      <c r="C145" s="5">
        <f>+final_results!C145-Raw_Financials!C145</f>
        <v>0</v>
      </c>
      <c r="D145" s="5">
        <f>+final_results!D145-Raw_Financials!D145</f>
        <v>0</v>
      </c>
      <c r="E145" s="5">
        <f>+final_results!E145-Raw_Financials!E145</f>
        <v>0</v>
      </c>
      <c r="F145" s="5">
        <f>+final_results!F145-Raw_Financials!F145</f>
        <v>0</v>
      </c>
      <c r="G145" s="5">
        <f>+final_results!G145-Raw_Financials!G145</f>
        <v>0</v>
      </c>
      <c r="H145" s="5">
        <f>+final_results!H145-Raw_Financials!H145</f>
        <v>0</v>
      </c>
      <c r="I145" s="5">
        <f>+final_results!I145-Raw_Financials!I145</f>
        <v>0</v>
      </c>
      <c r="J145" s="5">
        <f>+final_results!J145-Raw_Financials!J145</f>
        <v>0</v>
      </c>
      <c r="K145" s="5">
        <f>+final_results!K145-Raw_Financials!K145</f>
        <v>0</v>
      </c>
    </row>
    <row r="146" spans="1:11">
      <c r="A146" s="5" t="s">
        <v>144</v>
      </c>
      <c r="B146" s="5">
        <f>+final_results!B146-Raw_Financials!B146</f>
        <v>0</v>
      </c>
      <c r="C146" s="5">
        <f>+final_results!C146-Raw_Financials!C146</f>
        <v>0</v>
      </c>
      <c r="D146" s="5">
        <f>+final_results!D146-Raw_Financials!D146</f>
        <v>0</v>
      </c>
      <c r="E146" s="5">
        <f>+final_results!E146-Raw_Financials!E146</f>
        <v>0</v>
      </c>
      <c r="F146" s="5">
        <f>+final_results!F146-Raw_Financials!F146</f>
        <v>0</v>
      </c>
      <c r="G146" s="5">
        <f>+final_results!G146-Raw_Financials!G146</f>
        <v>0</v>
      </c>
      <c r="H146" s="5">
        <f>+final_results!H146-Raw_Financials!H146</f>
        <v>0</v>
      </c>
      <c r="I146" s="5">
        <f>+final_results!I146-Raw_Financials!I146</f>
        <v>-747.95856930036825</v>
      </c>
      <c r="J146" s="5">
        <f>+final_results!J146-Raw_Financials!J146</f>
        <v>0</v>
      </c>
      <c r="K146" s="5">
        <f>+final_results!K146-Raw_Financials!K146</f>
        <v>0</v>
      </c>
    </row>
    <row r="147" spans="1:11">
      <c r="A147" s="6" t="s">
        <v>145</v>
      </c>
      <c r="B147" s="5">
        <f>+final_results!B147-Raw_Financials!B147</f>
        <v>0</v>
      </c>
      <c r="C147" s="5">
        <f>+final_results!C147-Raw_Financials!C147</f>
        <v>0</v>
      </c>
      <c r="D147" s="5">
        <f>+final_results!D147-Raw_Financials!D147</f>
        <v>0</v>
      </c>
      <c r="E147" s="5">
        <f>+final_results!E147-Raw_Financials!E147</f>
        <v>0</v>
      </c>
      <c r="F147" s="5">
        <f>+final_results!F147-Raw_Financials!F147</f>
        <v>0</v>
      </c>
      <c r="G147" s="5">
        <f>+final_results!G147-Raw_Financials!G147</f>
        <v>0</v>
      </c>
      <c r="H147" s="5">
        <f>+final_results!H147-Raw_Financials!H147</f>
        <v>0</v>
      </c>
      <c r="I147" s="5">
        <f>+final_results!I147-Raw_Financials!I147</f>
        <v>0</v>
      </c>
      <c r="J147" s="5">
        <f>+final_results!J147-Raw_Financials!J147</f>
        <v>0</v>
      </c>
      <c r="K147" s="5">
        <f>+final_results!K147-Raw_Financials!K147</f>
        <v>0</v>
      </c>
    </row>
    <row r="148" spans="1:11">
      <c r="A148" s="5" t="s">
        <v>146</v>
      </c>
      <c r="B148" s="5">
        <f>+final_results!B148-Raw_Financials!B148</f>
        <v>0</v>
      </c>
      <c r="C148" s="5">
        <f>+final_results!C148-Raw_Financials!C148</f>
        <v>0</v>
      </c>
      <c r="D148" s="5">
        <f>+final_results!D148-Raw_Financials!D148</f>
        <v>0</v>
      </c>
      <c r="E148" s="5">
        <f>+final_results!E148-Raw_Financials!E148</f>
        <v>0</v>
      </c>
      <c r="F148" s="5">
        <f>+final_results!F148-Raw_Financials!F148</f>
        <v>0</v>
      </c>
      <c r="G148" s="5">
        <f>+final_results!G148-Raw_Financials!G148</f>
        <v>0</v>
      </c>
      <c r="H148" s="5">
        <f>+final_results!H148-Raw_Financials!H148</f>
        <v>0</v>
      </c>
      <c r="I148" s="5">
        <f>+final_results!I148-Raw_Financials!I148</f>
        <v>0</v>
      </c>
      <c r="J148" s="5">
        <f>+final_results!J148-Raw_Financials!J148</f>
        <v>0</v>
      </c>
      <c r="K148" s="5">
        <f>+final_results!K148-Raw_Financials!K148</f>
        <v>0</v>
      </c>
    </row>
    <row r="149" spans="1:11">
      <c r="A149" s="6" t="s">
        <v>147</v>
      </c>
      <c r="B149" s="5">
        <f>+final_results!B149-Raw_Financials!B149</f>
        <v>0</v>
      </c>
      <c r="C149" s="5">
        <f>+final_results!C149-Raw_Financials!C149</f>
        <v>0</v>
      </c>
      <c r="D149" s="5">
        <f>+final_results!D149-Raw_Financials!D149</f>
        <v>0</v>
      </c>
      <c r="E149" s="5">
        <f>+final_results!E149-Raw_Financials!E149</f>
        <v>0</v>
      </c>
      <c r="F149" s="5">
        <f>+final_results!F149-Raw_Financials!F149</f>
        <v>0</v>
      </c>
      <c r="G149" s="5">
        <f>+final_results!G149-Raw_Financials!G149</f>
        <v>0</v>
      </c>
      <c r="H149" s="5">
        <f>+final_results!H149-Raw_Financials!H149</f>
        <v>0</v>
      </c>
      <c r="I149" s="5">
        <f>+final_results!I149-Raw_Financials!I149</f>
        <v>0</v>
      </c>
      <c r="J149" s="5">
        <f>+final_results!J149-Raw_Financials!J149</f>
        <v>0</v>
      </c>
      <c r="K149" s="5">
        <f>+final_results!K149-Raw_Financials!K149</f>
        <v>0</v>
      </c>
    </row>
    <row r="150" spans="1:11">
      <c r="A150" s="5" t="s">
        <v>148</v>
      </c>
      <c r="B150" s="5">
        <f>+final_results!B150-Raw_Financials!B150</f>
        <v>0</v>
      </c>
      <c r="C150" s="5">
        <f>+final_results!C150-Raw_Financials!C150</f>
        <v>0</v>
      </c>
      <c r="D150" s="5">
        <f>+final_results!D150-Raw_Financials!D150</f>
        <v>0</v>
      </c>
      <c r="E150" s="5">
        <f>+final_results!E150-Raw_Financials!E150</f>
        <v>0</v>
      </c>
      <c r="F150" s="5">
        <f>+final_results!F150-Raw_Financials!F150</f>
        <v>0</v>
      </c>
      <c r="G150" s="5">
        <f>+final_results!G150-Raw_Financials!G150</f>
        <v>0</v>
      </c>
      <c r="H150" s="5">
        <f>+final_results!H150-Raw_Financials!H150</f>
        <v>0</v>
      </c>
      <c r="I150" s="5">
        <f>+final_results!I150-Raw_Financials!I150</f>
        <v>0</v>
      </c>
      <c r="J150" s="5">
        <f>+final_results!J150-Raw_Financials!J150</f>
        <v>0</v>
      </c>
      <c r="K150" s="5">
        <f>+final_results!K150-Raw_Financials!K150</f>
        <v>0</v>
      </c>
    </row>
    <row r="151" spans="1:11">
      <c r="A151" s="6" t="s">
        <v>149</v>
      </c>
      <c r="B151" s="5">
        <f>+final_results!B151-Raw_Financials!B151</f>
        <v>0</v>
      </c>
      <c r="C151" s="5">
        <f>+final_results!C151-Raw_Financials!C151</f>
        <v>0</v>
      </c>
      <c r="D151" s="5">
        <f>+final_results!D151-Raw_Financials!D151</f>
        <v>0</v>
      </c>
      <c r="E151" s="5">
        <f>+final_results!E151-Raw_Financials!E151</f>
        <v>0</v>
      </c>
      <c r="F151" s="5">
        <f>+final_results!F151-Raw_Financials!F151</f>
        <v>0</v>
      </c>
      <c r="G151" s="5">
        <f>+final_results!G151-Raw_Financials!G151</f>
        <v>0</v>
      </c>
      <c r="H151" s="5">
        <f>+final_results!H151-Raw_Financials!H151</f>
        <v>0</v>
      </c>
      <c r="I151" s="5">
        <f>+final_results!I151-Raw_Financials!I151</f>
        <v>0</v>
      </c>
      <c r="J151" s="5">
        <f>+final_results!J151-Raw_Financials!J151</f>
        <v>0</v>
      </c>
      <c r="K151" s="5">
        <f>+final_results!K151-Raw_Financials!K151</f>
        <v>0</v>
      </c>
    </row>
    <row r="152" spans="1:11">
      <c r="A152" s="5" t="s">
        <v>150</v>
      </c>
      <c r="B152" s="5">
        <f>+final_results!B152-Raw_Financials!B152</f>
        <v>0</v>
      </c>
      <c r="C152" s="5">
        <f>+final_results!C152-Raw_Financials!C152</f>
        <v>0</v>
      </c>
      <c r="D152" s="5">
        <f>+final_results!D152-Raw_Financials!D152</f>
        <v>0</v>
      </c>
      <c r="E152" s="5">
        <f>+final_results!E152-Raw_Financials!E152</f>
        <v>0</v>
      </c>
      <c r="F152" s="5">
        <f>+final_results!F152-Raw_Financials!F152</f>
        <v>0</v>
      </c>
      <c r="G152" s="5">
        <f>+final_results!G152-Raw_Financials!G152</f>
        <v>0</v>
      </c>
      <c r="H152" s="5">
        <f>+final_results!H152-Raw_Financials!H152</f>
        <v>0</v>
      </c>
      <c r="I152" s="5">
        <f>+final_results!I152-Raw_Financials!I152</f>
        <v>0</v>
      </c>
      <c r="J152" s="5">
        <f>+final_results!J152-Raw_Financials!J152</f>
        <v>0</v>
      </c>
      <c r="K152" s="5">
        <f>+final_results!K152-Raw_Financials!K152</f>
        <v>0</v>
      </c>
    </row>
    <row r="153" spans="1:11">
      <c r="A153" s="6" t="s">
        <v>151</v>
      </c>
      <c r="B153" s="5">
        <f>+final_results!B153-Raw_Financials!B153</f>
        <v>0</v>
      </c>
      <c r="C153" s="5">
        <f>+final_results!C153-Raw_Financials!C153</f>
        <v>0</v>
      </c>
      <c r="D153" s="5">
        <f>+final_results!D153-Raw_Financials!D153</f>
        <v>0</v>
      </c>
      <c r="E153" s="5">
        <f>+final_results!E153-Raw_Financials!E153</f>
        <v>0</v>
      </c>
      <c r="F153" s="5">
        <f>+final_results!F153-Raw_Financials!F153</f>
        <v>0</v>
      </c>
      <c r="G153" s="5">
        <f>+final_results!G153-Raw_Financials!G153</f>
        <v>0</v>
      </c>
      <c r="H153" s="5">
        <f>+final_results!H153-Raw_Financials!H153</f>
        <v>0</v>
      </c>
      <c r="I153" s="5">
        <f>+final_results!I153-Raw_Financials!I153</f>
        <v>0</v>
      </c>
      <c r="J153" s="5">
        <f>+final_results!J153-Raw_Financials!J153</f>
        <v>0</v>
      </c>
      <c r="K153" s="5">
        <f>+final_results!K153-Raw_Financials!K153</f>
        <v>0</v>
      </c>
    </row>
    <row r="154" spans="1:11">
      <c r="A154" s="5" t="s">
        <v>152</v>
      </c>
      <c r="B154" s="5">
        <f>+final_results!B154-Raw_Financials!B154</f>
        <v>0</v>
      </c>
      <c r="C154" s="5">
        <f>+final_results!C154-Raw_Financials!C154</f>
        <v>0</v>
      </c>
      <c r="D154" s="5">
        <f>+final_results!D154-Raw_Financials!D154</f>
        <v>0</v>
      </c>
      <c r="E154" s="5">
        <f>+final_results!E154-Raw_Financials!E154</f>
        <v>0</v>
      </c>
      <c r="F154" s="5">
        <f>+final_results!F154-Raw_Financials!F154</f>
        <v>0</v>
      </c>
      <c r="G154" s="5">
        <f>+final_results!G154-Raw_Financials!G154</f>
        <v>0</v>
      </c>
      <c r="H154" s="5">
        <f>+final_results!H154-Raw_Financials!H154</f>
        <v>0</v>
      </c>
      <c r="I154" s="5">
        <f>+final_results!I154-Raw_Financials!I154</f>
        <v>0</v>
      </c>
      <c r="J154" s="5">
        <f>+final_results!J154-Raw_Financials!J154</f>
        <v>0</v>
      </c>
      <c r="K154" s="5">
        <f>+final_results!K154-Raw_Financials!K154</f>
        <v>0</v>
      </c>
    </row>
    <row r="155" spans="1:11">
      <c r="A155" s="6" t="s">
        <v>153</v>
      </c>
      <c r="B155" s="5">
        <f>+final_results!B155-Raw_Financials!B155</f>
        <v>0</v>
      </c>
      <c r="C155" s="5">
        <f>+final_results!C155-Raw_Financials!C155</f>
        <v>0</v>
      </c>
      <c r="D155" s="5">
        <f>+final_results!D155-Raw_Financials!D155</f>
        <v>0</v>
      </c>
      <c r="E155" s="5">
        <f>+final_results!E155-Raw_Financials!E155</f>
        <v>0</v>
      </c>
      <c r="F155" s="5">
        <f>+final_results!F155-Raw_Financials!F155</f>
        <v>0</v>
      </c>
      <c r="G155" s="5">
        <f>+final_results!G155-Raw_Financials!G155</f>
        <v>0</v>
      </c>
      <c r="H155" s="5">
        <f>+final_results!H155-Raw_Financials!H155</f>
        <v>0</v>
      </c>
      <c r="I155" s="5">
        <f>+final_results!I155-Raw_Financials!I155</f>
        <v>0</v>
      </c>
      <c r="J155" s="5">
        <f>+final_results!J155-Raw_Financials!J155</f>
        <v>0</v>
      </c>
      <c r="K155" s="5">
        <f>+final_results!K155-Raw_Financials!K155</f>
        <v>0</v>
      </c>
    </row>
    <row r="156" spans="1:11">
      <c r="A156" s="5" t="s">
        <v>154</v>
      </c>
      <c r="B156" s="5">
        <f>+final_results!B156-Raw_Financials!B156</f>
        <v>0</v>
      </c>
      <c r="C156" s="5">
        <f>+final_results!C156-Raw_Financials!C156</f>
        <v>0</v>
      </c>
      <c r="D156" s="5">
        <f>+final_results!D156-Raw_Financials!D156</f>
        <v>0</v>
      </c>
      <c r="E156" s="5">
        <f>+final_results!E156-Raw_Financials!E156</f>
        <v>0</v>
      </c>
      <c r="F156" s="5">
        <f>+final_results!F156-Raw_Financials!F156</f>
        <v>0</v>
      </c>
      <c r="G156" s="5">
        <f>+final_results!G156-Raw_Financials!G156</f>
        <v>0</v>
      </c>
      <c r="H156" s="5">
        <f>+final_results!H156-Raw_Financials!H156</f>
        <v>0</v>
      </c>
      <c r="I156" s="5">
        <f>+final_results!I156-Raw_Financials!I156</f>
        <v>0</v>
      </c>
      <c r="J156" s="5">
        <f>+final_results!J156-Raw_Financials!J156</f>
        <v>0</v>
      </c>
      <c r="K156" s="5">
        <f>+final_results!K156-Raw_Financials!K156</f>
        <v>-54641.855000000003</v>
      </c>
    </row>
    <row r="157" spans="1:11">
      <c r="A157" s="6" t="s">
        <v>155</v>
      </c>
      <c r="B157" s="5">
        <f>+final_results!B157-Raw_Financials!B157</f>
        <v>0</v>
      </c>
      <c r="C157" s="5">
        <f>+final_results!C157-Raw_Financials!C157</f>
        <v>0</v>
      </c>
      <c r="D157" s="5">
        <f>+final_results!D157-Raw_Financials!D157</f>
        <v>0</v>
      </c>
      <c r="E157" s="5">
        <f>+final_results!E157-Raw_Financials!E157</f>
        <v>0</v>
      </c>
      <c r="F157" s="5">
        <f>+final_results!F157-Raw_Financials!F157</f>
        <v>0</v>
      </c>
      <c r="G157" s="5">
        <f>+final_results!G157-Raw_Financials!G157</f>
        <v>0</v>
      </c>
      <c r="H157" s="5">
        <f>+final_results!H157-Raw_Financials!H157</f>
        <v>0</v>
      </c>
      <c r="I157" s="5">
        <f>+final_results!I157-Raw_Financials!I157</f>
        <v>0</v>
      </c>
      <c r="J157" s="5">
        <f>+final_results!J157-Raw_Financials!J157</f>
        <v>0</v>
      </c>
      <c r="K157" s="5">
        <f>+final_results!K157-Raw_Financials!K157</f>
        <v>0</v>
      </c>
    </row>
    <row r="158" spans="1:11">
      <c r="A158" s="7" t="s">
        <v>140</v>
      </c>
      <c r="B158" s="5">
        <f>+final_results!B158-Raw_Financials!B158</f>
        <v>0</v>
      </c>
      <c r="C158" s="5">
        <f>+final_results!C158-Raw_Financials!C158</f>
        <v>0</v>
      </c>
      <c r="D158" s="5">
        <f>+final_results!D158-Raw_Financials!D158</f>
        <v>0</v>
      </c>
      <c r="E158" s="5">
        <f>+final_results!E158-Raw_Financials!E158</f>
        <v>0</v>
      </c>
      <c r="F158" s="5">
        <f>+final_results!F158-Raw_Financials!F158</f>
        <v>0</v>
      </c>
      <c r="G158" s="5">
        <f>+final_results!G158-Raw_Financials!G158</f>
        <v>0</v>
      </c>
      <c r="H158" s="5">
        <f>+final_results!H158-Raw_Financials!H158</f>
        <v>0</v>
      </c>
      <c r="I158" s="5">
        <f>+final_results!I158-Raw_Financials!I158</f>
        <v>0</v>
      </c>
      <c r="J158" s="5">
        <f>+final_results!J158-Raw_Financials!J158</f>
        <v>0</v>
      </c>
      <c r="K158" s="5">
        <f>+final_results!K158-Raw_Financials!K158</f>
        <v>0</v>
      </c>
    </row>
    <row r="159" spans="1:11">
      <c r="A159" s="6" t="s">
        <v>156</v>
      </c>
      <c r="B159" s="5">
        <f>+final_results!B159-Raw_Financials!B159</f>
        <v>0</v>
      </c>
      <c r="C159" s="5">
        <f>+final_results!C159-Raw_Financials!C159</f>
        <v>0</v>
      </c>
      <c r="D159" s="5">
        <f>+final_results!D159-Raw_Financials!D159</f>
        <v>0</v>
      </c>
      <c r="E159" s="5">
        <f>+final_results!E159-Raw_Financials!E159</f>
        <v>0</v>
      </c>
      <c r="F159" s="5">
        <f>+final_results!F159-Raw_Financials!F159</f>
        <v>0</v>
      </c>
      <c r="G159" s="5">
        <f>+final_results!G159-Raw_Financials!G159</f>
        <v>0</v>
      </c>
      <c r="H159" s="5">
        <f>+final_results!H159-Raw_Financials!H159</f>
        <v>0</v>
      </c>
      <c r="I159" s="5">
        <f>+final_results!I159-Raw_Financials!I159</f>
        <v>0</v>
      </c>
      <c r="J159" s="5">
        <f>+final_results!J159-Raw_Financials!J159</f>
        <v>0</v>
      </c>
      <c r="K159" s="5">
        <f>+final_results!K159-Raw_Financials!K159</f>
        <v>0</v>
      </c>
    </row>
    <row r="160" spans="1:11">
      <c r="A160" s="5" t="s">
        <v>157</v>
      </c>
      <c r="B160" s="5">
        <f>+final_results!B160-Raw_Financials!B160</f>
        <v>-829.12212577502055</v>
      </c>
      <c r="C160" s="5">
        <f>+final_results!C160-Raw_Financials!C160</f>
        <v>-97.950321245299733</v>
      </c>
      <c r="D160" s="5">
        <f>+final_results!D160-Raw_Financials!D160</f>
        <v>0</v>
      </c>
      <c r="E160" s="5">
        <f>+final_results!E160-Raw_Financials!E160</f>
        <v>0</v>
      </c>
      <c r="F160" s="5">
        <f>+final_results!F160-Raw_Financials!F160</f>
        <v>0</v>
      </c>
      <c r="G160" s="5">
        <f>+final_results!G160-Raw_Financials!G160</f>
        <v>0</v>
      </c>
      <c r="H160" s="5">
        <f>+final_results!H160-Raw_Financials!H160</f>
        <v>0</v>
      </c>
      <c r="I160" s="5">
        <f>+final_results!I160-Raw_Financials!I160</f>
        <v>0</v>
      </c>
      <c r="J160" s="5">
        <f>+final_results!J160-Raw_Financials!J160</f>
        <v>0</v>
      </c>
      <c r="K160" s="5">
        <f>+final_results!K160-Raw_Financials!K160</f>
        <v>0</v>
      </c>
    </row>
    <row r="161" spans="1:11">
      <c r="A161" s="6" t="s">
        <v>158</v>
      </c>
      <c r="B161" s="5">
        <f>+final_results!B161-Raw_Financials!B161</f>
        <v>0</v>
      </c>
      <c r="C161" s="5">
        <f>+final_results!C161-Raw_Financials!C161</f>
        <v>0</v>
      </c>
      <c r="D161" s="5">
        <f>+final_results!D161-Raw_Financials!D161</f>
        <v>0</v>
      </c>
      <c r="E161" s="5">
        <f>+final_results!E161-Raw_Financials!E161</f>
        <v>0</v>
      </c>
      <c r="F161" s="5">
        <f>+final_results!F161-Raw_Financials!F161</f>
        <v>0</v>
      </c>
      <c r="G161" s="5">
        <f>+final_results!G161-Raw_Financials!G161</f>
        <v>0</v>
      </c>
      <c r="H161" s="5">
        <f>+final_results!H161-Raw_Financials!H161</f>
        <v>0</v>
      </c>
      <c r="I161" s="5">
        <f>+final_results!I161-Raw_Financials!I161</f>
        <v>0</v>
      </c>
      <c r="J161" s="5">
        <f>+final_results!J161-Raw_Financials!J161</f>
        <v>0</v>
      </c>
      <c r="K161" s="5">
        <f>+final_results!K161-Raw_Financials!K161</f>
        <v>0</v>
      </c>
    </row>
    <row r="162" spans="1:11">
      <c r="A162" s="5" t="s">
        <v>159</v>
      </c>
      <c r="B162" s="5">
        <f>+final_results!B162-Raw_Financials!B162</f>
        <v>0</v>
      </c>
      <c r="C162" s="5">
        <f>+final_results!C162-Raw_Financials!C162</f>
        <v>0</v>
      </c>
      <c r="D162" s="5">
        <f>+final_results!D162-Raw_Financials!D162</f>
        <v>0</v>
      </c>
      <c r="E162" s="5">
        <f>+final_results!E162-Raw_Financials!E162</f>
        <v>0</v>
      </c>
      <c r="F162" s="5">
        <f>+final_results!F162-Raw_Financials!F162</f>
        <v>0</v>
      </c>
      <c r="G162" s="5">
        <f>+final_results!G162-Raw_Financials!G162</f>
        <v>0</v>
      </c>
      <c r="H162" s="5">
        <f>+final_results!H162-Raw_Financials!H162</f>
        <v>0</v>
      </c>
      <c r="I162" s="5">
        <f>+final_results!I162-Raw_Financials!I162</f>
        <v>0</v>
      </c>
      <c r="J162" s="5">
        <f>+final_results!J162-Raw_Financials!J162</f>
        <v>0</v>
      </c>
      <c r="K162" s="5">
        <f>+final_results!K162-Raw_Financials!K162</f>
        <v>0</v>
      </c>
    </row>
    <row r="163" spans="1:11">
      <c r="A163" s="7" t="s">
        <v>160</v>
      </c>
      <c r="B163" s="5">
        <f>+final_results!B163-Raw_Financials!B163</f>
        <v>0</v>
      </c>
      <c r="C163" s="5">
        <f>+final_results!C163-Raw_Financials!C163</f>
        <v>0</v>
      </c>
      <c r="D163" s="5">
        <f>+final_results!D163-Raw_Financials!D163</f>
        <v>0</v>
      </c>
      <c r="E163" s="5">
        <f>+final_results!E163-Raw_Financials!E163</f>
        <v>0</v>
      </c>
      <c r="F163" s="5">
        <f>+final_results!F163-Raw_Financials!F163</f>
        <v>0</v>
      </c>
      <c r="G163" s="5">
        <f>+final_results!G163-Raw_Financials!G163</f>
        <v>0</v>
      </c>
      <c r="H163" s="5">
        <f>+final_results!H163-Raw_Financials!H163</f>
        <v>0</v>
      </c>
      <c r="I163" s="5">
        <f>+final_results!I163-Raw_Financials!I163</f>
        <v>0</v>
      </c>
      <c r="J163" s="5">
        <f>+final_results!J163-Raw_Financials!J163</f>
        <v>0</v>
      </c>
      <c r="K163" s="5">
        <f>+final_results!K163-Raw_Financials!K163</f>
        <v>0</v>
      </c>
    </row>
    <row r="164" spans="1:11">
      <c r="A164" s="5" t="s">
        <v>161</v>
      </c>
      <c r="B164" s="5">
        <f>+final_results!B164-Raw_Financials!B164</f>
        <v>0</v>
      </c>
      <c r="C164" s="5">
        <f>+final_results!C164-Raw_Financials!C164</f>
        <v>0</v>
      </c>
      <c r="D164" s="5">
        <f>+final_results!D164-Raw_Financials!D164</f>
        <v>0</v>
      </c>
      <c r="E164" s="5">
        <f>+final_results!E164-Raw_Financials!E164</f>
        <v>0</v>
      </c>
      <c r="F164" s="5">
        <f>+final_results!F164-Raw_Financials!F164</f>
        <v>0</v>
      </c>
      <c r="G164" s="5">
        <f>+final_results!G164-Raw_Financials!G164</f>
        <v>0</v>
      </c>
      <c r="H164" s="5">
        <f>+final_results!H164-Raw_Financials!H164</f>
        <v>0</v>
      </c>
      <c r="I164" s="5">
        <f>+final_results!I164-Raw_Financials!I164</f>
        <v>0</v>
      </c>
      <c r="J164" s="5">
        <f>+final_results!J164-Raw_Financials!J164</f>
        <v>0</v>
      </c>
      <c r="K164" s="5">
        <f>+final_results!K164-Raw_Financials!K164</f>
        <v>0</v>
      </c>
    </row>
    <row r="165" spans="1:11">
      <c r="A165" s="6" t="s">
        <v>162</v>
      </c>
      <c r="B165" s="5">
        <f>+final_results!B165-Raw_Financials!B165</f>
        <v>0</v>
      </c>
      <c r="C165" s="5">
        <f>+final_results!C165-Raw_Financials!C165</f>
        <v>0</v>
      </c>
      <c r="D165" s="5">
        <f>+final_results!D165-Raw_Financials!D165</f>
        <v>0</v>
      </c>
      <c r="E165" s="5">
        <f>+final_results!E165-Raw_Financials!E165</f>
        <v>0</v>
      </c>
      <c r="F165" s="5">
        <f>+final_results!F165-Raw_Financials!F165</f>
        <v>0</v>
      </c>
      <c r="G165" s="5">
        <f>+final_results!G165-Raw_Financials!G165</f>
        <v>0</v>
      </c>
      <c r="H165" s="5">
        <f>+final_results!H165-Raw_Financials!H165</f>
        <v>0</v>
      </c>
      <c r="I165" s="5">
        <f>+final_results!I165-Raw_Financials!I165</f>
        <v>0</v>
      </c>
      <c r="J165" s="5">
        <f>+final_results!J165-Raw_Financials!J165</f>
        <v>0</v>
      </c>
      <c r="K165" s="5">
        <f>+final_results!K165-Raw_Financials!K165</f>
        <v>0</v>
      </c>
    </row>
    <row r="166" spans="1:11">
      <c r="A166" s="5" t="s">
        <v>163</v>
      </c>
      <c r="B166" s="5">
        <f>+final_results!B166-Raw_Financials!B166</f>
        <v>0</v>
      </c>
      <c r="C166" s="5">
        <f>+final_results!C166-Raw_Financials!C166</f>
        <v>0</v>
      </c>
      <c r="D166" s="5">
        <f>+final_results!D166-Raw_Financials!D166</f>
        <v>0</v>
      </c>
      <c r="E166" s="5">
        <f>+final_results!E166-Raw_Financials!E166</f>
        <v>0</v>
      </c>
      <c r="F166" s="5">
        <f>+final_results!F166-Raw_Financials!F166</f>
        <v>0</v>
      </c>
      <c r="G166" s="5">
        <f>+final_results!G166-Raw_Financials!G166</f>
        <v>0</v>
      </c>
      <c r="H166" s="5">
        <f>+final_results!H166-Raw_Financials!H166</f>
        <v>0</v>
      </c>
      <c r="I166" s="5">
        <f>+final_results!I166-Raw_Financials!I166</f>
        <v>0</v>
      </c>
      <c r="J166" s="5">
        <f>+final_results!J166-Raw_Financials!J166</f>
        <v>0</v>
      </c>
      <c r="K166" s="5">
        <f>+final_results!K166-Raw_Financials!K166</f>
        <v>0</v>
      </c>
    </row>
    <row r="167" spans="1:11">
      <c r="A167" s="6" t="s">
        <v>164</v>
      </c>
      <c r="B167" s="5">
        <f>+final_results!B167-Raw_Financials!B167</f>
        <v>0</v>
      </c>
      <c r="C167" s="5">
        <f>+final_results!C167-Raw_Financials!C167</f>
        <v>0</v>
      </c>
      <c r="D167" s="5">
        <f>+final_results!D167-Raw_Financials!D167</f>
        <v>0</v>
      </c>
      <c r="E167" s="5">
        <f>+final_results!E167-Raw_Financials!E167</f>
        <v>0</v>
      </c>
      <c r="F167" s="5">
        <f>+final_results!F167-Raw_Financials!F167</f>
        <v>0</v>
      </c>
      <c r="G167" s="5">
        <f>+final_results!G167-Raw_Financials!G167</f>
        <v>0</v>
      </c>
      <c r="H167" s="5">
        <f>+final_results!H167-Raw_Financials!H167</f>
        <v>0</v>
      </c>
      <c r="I167" s="5">
        <f>+final_results!I167-Raw_Financials!I167</f>
        <v>0</v>
      </c>
      <c r="J167" s="5">
        <f>+final_results!J167-Raw_Financials!J167</f>
        <v>0</v>
      </c>
      <c r="K167" s="5">
        <f>+final_results!K167-Raw_Financials!K167</f>
        <v>0</v>
      </c>
    </row>
    <row r="168" spans="1:11">
      <c r="A168" s="5" t="s">
        <v>165</v>
      </c>
      <c r="B168" s="5">
        <f>+final_results!B168-Raw_Financials!B168</f>
        <v>0</v>
      </c>
      <c r="C168" s="5">
        <f>+final_results!C168-Raw_Financials!C168</f>
        <v>0</v>
      </c>
      <c r="D168" s="5">
        <f>+final_results!D168-Raw_Financials!D168</f>
        <v>0</v>
      </c>
      <c r="E168" s="5">
        <f>+final_results!E168-Raw_Financials!E168</f>
        <v>0</v>
      </c>
      <c r="F168" s="5">
        <f>+final_results!F168-Raw_Financials!F168</f>
        <v>0</v>
      </c>
      <c r="G168" s="5">
        <f>+final_results!G168-Raw_Financials!G168</f>
        <v>0</v>
      </c>
      <c r="H168" s="5">
        <f>+final_results!H168-Raw_Financials!H168</f>
        <v>0</v>
      </c>
      <c r="I168" s="5">
        <f>+final_results!I168-Raw_Financials!I168</f>
        <v>0</v>
      </c>
      <c r="J168" s="5">
        <f>+final_results!J168-Raw_Financials!J168</f>
        <v>0</v>
      </c>
      <c r="K168" s="5">
        <f>+final_results!K168-Raw_Financials!K168</f>
        <v>0</v>
      </c>
    </row>
    <row r="169" spans="1:11">
      <c r="A169" s="7" t="s">
        <v>166</v>
      </c>
      <c r="B169" s="5">
        <f>+final_results!B169-Raw_Financials!B169</f>
        <v>0</v>
      </c>
      <c r="C169" s="5">
        <f>+final_results!C169-Raw_Financials!C169</f>
        <v>0</v>
      </c>
      <c r="D169" s="5">
        <f>+final_results!D169-Raw_Financials!D169</f>
        <v>0</v>
      </c>
      <c r="E169" s="5">
        <f>+final_results!E169-Raw_Financials!E169</f>
        <v>0</v>
      </c>
      <c r="F169" s="5">
        <f>+final_results!F169-Raw_Financials!F169</f>
        <v>0</v>
      </c>
      <c r="G169" s="5">
        <f>+final_results!G169-Raw_Financials!G169</f>
        <v>0</v>
      </c>
      <c r="H169" s="5">
        <f>+final_results!H169-Raw_Financials!H169</f>
        <v>0</v>
      </c>
      <c r="I169" s="5">
        <f>+final_results!I169-Raw_Financials!I169</f>
        <v>0</v>
      </c>
      <c r="J169" s="5">
        <f>+final_results!J169-Raw_Financials!J169</f>
        <v>0</v>
      </c>
      <c r="K169" s="5">
        <f>+final_results!K169-Raw_Financials!K169</f>
        <v>0</v>
      </c>
    </row>
    <row r="170" spans="1:11">
      <c r="A170" s="7" t="s">
        <v>167</v>
      </c>
      <c r="B170" s="5">
        <f>+final_results!B170-Raw_Financials!B170</f>
        <v>0</v>
      </c>
      <c r="C170" s="5">
        <f>+final_results!C170-Raw_Financials!C170</f>
        <v>0</v>
      </c>
      <c r="D170" s="5">
        <f>+final_results!D170-Raw_Financials!D170</f>
        <v>0</v>
      </c>
      <c r="E170" s="5">
        <f>+final_results!E170-Raw_Financials!E170</f>
        <v>0</v>
      </c>
      <c r="F170" s="5">
        <f>+final_results!F170-Raw_Financials!F170</f>
        <v>0</v>
      </c>
      <c r="G170" s="5">
        <f>+final_results!G170-Raw_Financials!G170</f>
        <v>0</v>
      </c>
      <c r="H170" s="5">
        <f>+final_results!H170-Raw_Financials!H170</f>
        <v>0</v>
      </c>
      <c r="I170" s="5">
        <f>+final_results!I170-Raw_Financials!I170</f>
        <v>0</v>
      </c>
      <c r="J170" s="5">
        <f>+final_results!J170-Raw_Financials!J170</f>
        <v>0</v>
      </c>
      <c r="K170" s="5">
        <f>+final_results!K170-Raw_Financials!K170</f>
        <v>0</v>
      </c>
    </row>
    <row r="171" spans="1:11">
      <c r="A171" s="6" t="s">
        <v>168</v>
      </c>
      <c r="B171" s="5">
        <f>+final_results!B171-Raw_Financials!B171</f>
        <v>0</v>
      </c>
      <c r="C171" s="5">
        <f>+final_results!C171-Raw_Financials!C171</f>
        <v>0</v>
      </c>
      <c r="D171" s="5">
        <f>+final_results!D171-Raw_Financials!D171</f>
        <v>0</v>
      </c>
      <c r="E171" s="5">
        <f>+final_results!E171-Raw_Financials!E171</f>
        <v>0</v>
      </c>
      <c r="F171" s="5">
        <f>+final_results!F171-Raw_Financials!F171</f>
        <v>0</v>
      </c>
      <c r="G171" s="5">
        <f>+final_results!G171-Raw_Financials!G171</f>
        <v>0</v>
      </c>
      <c r="H171" s="5">
        <f>+final_results!H171-Raw_Financials!H171</f>
        <v>0</v>
      </c>
      <c r="I171" s="5">
        <f>+final_results!I171-Raw_Financials!I171</f>
        <v>0</v>
      </c>
      <c r="J171" s="5">
        <f>+final_results!J171-Raw_Financials!J171</f>
        <v>0</v>
      </c>
      <c r="K171" s="5">
        <f>+final_results!K171-Raw_Financials!K171</f>
        <v>0</v>
      </c>
    </row>
    <row r="172" spans="1:11">
      <c r="A172" s="5" t="s">
        <v>169</v>
      </c>
      <c r="B172" s="5">
        <f>+final_results!B172-Raw_Financials!B172</f>
        <v>0</v>
      </c>
      <c r="C172" s="5">
        <f>+final_results!C172-Raw_Financials!C172</f>
        <v>0</v>
      </c>
      <c r="D172" s="5">
        <f>+final_results!D172-Raw_Financials!D172</f>
        <v>0</v>
      </c>
      <c r="E172" s="5">
        <f>+final_results!E172-Raw_Financials!E172</f>
        <v>0</v>
      </c>
      <c r="F172" s="5">
        <f>+final_results!F172-Raw_Financials!F172</f>
        <v>0</v>
      </c>
      <c r="G172" s="5">
        <f>+final_results!G172-Raw_Financials!G172</f>
        <v>0</v>
      </c>
      <c r="H172" s="5">
        <f>+final_results!H172-Raw_Financials!H172</f>
        <v>0</v>
      </c>
      <c r="I172" s="5">
        <f>+final_results!I172-Raw_Financials!I172</f>
        <v>0</v>
      </c>
      <c r="J172" s="5">
        <f>+final_results!J172-Raw_Financials!J172</f>
        <v>0</v>
      </c>
      <c r="K172" s="5">
        <f>+final_results!K172-Raw_Financials!K172</f>
        <v>0</v>
      </c>
    </row>
    <row r="173" spans="1:11">
      <c r="A173" s="6" t="s">
        <v>170</v>
      </c>
      <c r="B173" s="5">
        <f>+final_results!B173-Raw_Financials!B173</f>
        <v>0</v>
      </c>
      <c r="C173" s="5">
        <f>+final_results!C173-Raw_Financials!C173</f>
        <v>0</v>
      </c>
      <c r="D173" s="5">
        <f>+final_results!D173-Raw_Financials!D173</f>
        <v>0</v>
      </c>
      <c r="E173" s="5">
        <f>+final_results!E173-Raw_Financials!E173</f>
        <v>0</v>
      </c>
      <c r="F173" s="5">
        <f>+final_results!F173-Raw_Financials!F173</f>
        <v>0</v>
      </c>
      <c r="G173" s="5">
        <f>+final_results!G173-Raw_Financials!G173</f>
        <v>0</v>
      </c>
      <c r="H173" s="5">
        <f>+final_results!H173-Raw_Financials!H173</f>
        <v>0</v>
      </c>
      <c r="I173" s="5">
        <f>+final_results!I173-Raw_Financials!I173</f>
        <v>0</v>
      </c>
      <c r="J173" s="5">
        <f>+final_results!J173-Raw_Financials!J173</f>
        <v>0</v>
      </c>
      <c r="K173" s="5">
        <f>+final_results!K173-Raw_Financials!K173</f>
        <v>0</v>
      </c>
    </row>
    <row r="174" spans="1:11">
      <c r="A174" s="5" t="s">
        <v>171</v>
      </c>
      <c r="B174" s="5">
        <f>+final_results!B174-Raw_Financials!B174</f>
        <v>0</v>
      </c>
      <c r="C174" s="5">
        <f>+final_results!C174-Raw_Financials!C174</f>
        <v>0</v>
      </c>
      <c r="D174" s="5">
        <f>+final_results!D174-Raw_Financials!D174</f>
        <v>0</v>
      </c>
      <c r="E174" s="5">
        <f>+final_results!E174-Raw_Financials!E174</f>
        <v>0</v>
      </c>
      <c r="F174" s="5">
        <f>+final_results!F174-Raw_Financials!F174</f>
        <v>0</v>
      </c>
      <c r="G174" s="5">
        <f>+final_results!G174-Raw_Financials!G174</f>
        <v>0</v>
      </c>
      <c r="H174" s="5">
        <f>+final_results!H174-Raw_Financials!H174</f>
        <v>0</v>
      </c>
      <c r="I174" s="5">
        <f>+final_results!I174-Raw_Financials!I174</f>
        <v>0</v>
      </c>
      <c r="J174" s="5">
        <f>+final_results!J174-Raw_Financials!J174</f>
        <v>0</v>
      </c>
      <c r="K174" s="5">
        <f>+final_results!K174-Raw_Financials!K174</f>
        <v>0</v>
      </c>
    </row>
    <row r="175" spans="1:11">
      <c r="A175" s="6" t="s">
        <v>172</v>
      </c>
      <c r="B175" s="5">
        <f>+final_results!B175-Raw_Financials!B175</f>
        <v>0</v>
      </c>
      <c r="C175" s="5">
        <f>+final_results!C175-Raw_Financials!C175</f>
        <v>0</v>
      </c>
      <c r="D175" s="5">
        <f>+final_results!D175-Raw_Financials!D175</f>
        <v>0</v>
      </c>
      <c r="E175" s="5">
        <f>+final_results!E175-Raw_Financials!E175</f>
        <v>0</v>
      </c>
      <c r="F175" s="5">
        <f>+final_results!F175-Raw_Financials!F175</f>
        <v>0</v>
      </c>
      <c r="G175" s="5">
        <f>+final_results!G175-Raw_Financials!G175</f>
        <v>0</v>
      </c>
      <c r="H175" s="5">
        <f>+final_results!H175-Raw_Financials!H175</f>
        <v>0</v>
      </c>
      <c r="I175" s="5">
        <f>+final_results!I175-Raw_Financials!I175</f>
        <v>0</v>
      </c>
      <c r="J175" s="5">
        <f>+final_results!J175-Raw_Financials!J175</f>
        <v>0</v>
      </c>
      <c r="K175" s="5">
        <f>+final_results!K175-Raw_Financials!K175</f>
        <v>-58112.552904653014</v>
      </c>
    </row>
    <row r="176" spans="1:11">
      <c r="A176" s="5" t="s">
        <v>173</v>
      </c>
      <c r="B176" s="5">
        <f>+final_results!B176-Raw_Financials!B176</f>
        <v>0</v>
      </c>
      <c r="C176" s="5">
        <f>+final_results!C176-Raw_Financials!C176</f>
        <v>0</v>
      </c>
      <c r="D176" s="5">
        <f>+final_results!D176-Raw_Financials!D176</f>
        <v>0</v>
      </c>
      <c r="E176" s="5">
        <f>+final_results!E176-Raw_Financials!E176</f>
        <v>0</v>
      </c>
      <c r="F176" s="5">
        <f>+final_results!F176-Raw_Financials!F176</f>
        <v>0</v>
      </c>
      <c r="G176" s="5">
        <f>+final_results!G176-Raw_Financials!G176</f>
        <v>0</v>
      </c>
      <c r="H176" s="5">
        <f>+final_results!H176-Raw_Financials!H176</f>
        <v>0</v>
      </c>
      <c r="I176" s="5">
        <f>+final_results!I176-Raw_Financials!I176</f>
        <v>0</v>
      </c>
      <c r="J176" s="5">
        <f>+final_results!J176-Raw_Financials!J176</f>
        <v>0</v>
      </c>
      <c r="K176" s="5">
        <f>+final_results!K176-Raw_Financials!K176</f>
        <v>0</v>
      </c>
    </row>
    <row r="177" spans="1:11">
      <c r="A177" s="6" t="s">
        <v>174</v>
      </c>
      <c r="B177" s="5">
        <f>+final_results!B177-Raw_Financials!B177</f>
        <v>0</v>
      </c>
      <c r="C177" s="5">
        <f>+final_results!C177-Raw_Financials!C177</f>
        <v>0</v>
      </c>
      <c r="D177" s="5">
        <f>+final_results!D177-Raw_Financials!D177</f>
        <v>0</v>
      </c>
      <c r="E177" s="5">
        <f>+final_results!E177-Raw_Financials!E177</f>
        <v>0</v>
      </c>
      <c r="F177" s="5">
        <f>+final_results!F177-Raw_Financials!F177</f>
        <v>0</v>
      </c>
      <c r="G177" s="5">
        <f>+final_results!G177-Raw_Financials!G177</f>
        <v>0</v>
      </c>
      <c r="H177" s="5">
        <f>+final_results!H177-Raw_Financials!H177</f>
        <v>0</v>
      </c>
      <c r="I177" s="5">
        <f>+final_results!I177-Raw_Financials!I177</f>
        <v>0</v>
      </c>
      <c r="J177" s="5">
        <f>+final_results!J177-Raw_Financials!J177</f>
        <v>0</v>
      </c>
      <c r="K177" s="5">
        <f>+final_results!K177-Raw_Financials!K177</f>
        <v>0</v>
      </c>
    </row>
    <row r="178" spans="1:11">
      <c r="A178" s="5" t="s">
        <v>175</v>
      </c>
      <c r="B178" s="5">
        <f>+final_results!B178-Raw_Financials!B178</f>
        <v>0</v>
      </c>
      <c r="C178" s="5">
        <f>+final_results!C178-Raw_Financials!C178</f>
        <v>0</v>
      </c>
      <c r="D178" s="5">
        <f>+final_results!D178-Raw_Financials!D178</f>
        <v>0</v>
      </c>
      <c r="E178" s="5">
        <f>+final_results!E178-Raw_Financials!E178</f>
        <v>0</v>
      </c>
      <c r="F178" s="5">
        <f>+final_results!F178-Raw_Financials!F178</f>
        <v>0</v>
      </c>
      <c r="G178" s="5">
        <f>+final_results!G178-Raw_Financials!G178</f>
        <v>0</v>
      </c>
      <c r="H178" s="5">
        <f>+final_results!H178-Raw_Financials!H178</f>
        <v>0</v>
      </c>
      <c r="I178" s="5">
        <f>+final_results!I178-Raw_Financials!I178</f>
        <v>0</v>
      </c>
      <c r="J178" s="5">
        <f>+final_results!J178-Raw_Financials!J178</f>
        <v>0</v>
      </c>
      <c r="K178" s="5">
        <f>+final_results!K178-Raw_Financials!K178</f>
        <v>0</v>
      </c>
    </row>
    <row r="179" spans="1:11">
      <c r="A179" s="6" t="s">
        <v>176</v>
      </c>
      <c r="B179" s="5">
        <f>+final_results!B179-Raw_Financials!B179</f>
        <v>0</v>
      </c>
      <c r="C179" s="5">
        <f>+final_results!C179-Raw_Financials!C179</f>
        <v>0</v>
      </c>
      <c r="D179" s="5">
        <f>+final_results!D179-Raw_Financials!D179</f>
        <v>0</v>
      </c>
      <c r="E179" s="5">
        <f>+final_results!E179-Raw_Financials!E179</f>
        <v>0</v>
      </c>
      <c r="F179" s="5">
        <f>+final_results!F179-Raw_Financials!F179</f>
        <v>0</v>
      </c>
      <c r="G179" s="5">
        <f>+final_results!G179-Raw_Financials!G179</f>
        <v>0</v>
      </c>
      <c r="H179" s="5">
        <f>+final_results!H179-Raw_Financials!H179</f>
        <v>0</v>
      </c>
      <c r="I179" s="5">
        <f>+final_results!I179-Raw_Financials!I179</f>
        <v>0</v>
      </c>
      <c r="J179" s="5">
        <f>+final_results!J179-Raw_Financials!J179</f>
        <v>0</v>
      </c>
      <c r="K179" s="5">
        <f>+final_results!K179-Raw_Financials!K179</f>
        <v>0</v>
      </c>
    </row>
    <row r="180" spans="1:11">
      <c r="A180" s="5" t="s">
        <v>177</v>
      </c>
      <c r="B180" s="5">
        <f>+final_results!B180-Raw_Financials!B180</f>
        <v>0</v>
      </c>
      <c r="C180" s="5">
        <f>+final_results!C180-Raw_Financials!C180</f>
        <v>0</v>
      </c>
      <c r="D180" s="5">
        <f>+final_results!D180-Raw_Financials!D180</f>
        <v>0</v>
      </c>
      <c r="E180" s="5">
        <f>+final_results!E180-Raw_Financials!E180</f>
        <v>0</v>
      </c>
      <c r="F180" s="5">
        <f>+final_results!F180-Raw_Financials!F180</f>
        <v>0</v>
      </c>
      <c r="G180" s="5">
        <f>+final_results!G180-Raw_Financials!G180</f>
        <v>0</v>
      </c>
      <c r="H180" s="5">
        <f>+final_results!H180-Raw_Financials!H180</f>
        <v>0</v>
      </c>
      <c r="I180" s="5">
        <f>+final_results!I180-Raw_Financials!I180</f>
        <v>0</v>
      </c>
      <c r="J180" s="5">
        <f>+final_results!J180-Raw_Financials!J180</f>
        <v>0</v>
      </c>
      <c r="K180" s="5">
        <f>+final_results!K180-Raw_Financials!K180</f>
        <v>0</v>
      </c>
    </row>
    <row r="181" spans="1:11">
      <c r="A181" s="6" t="s">
        <v>178</v>
      </c>
      <c r="B181" s="5">
        <f>+final_results!B181-Raw_Financials!B181</f>
        <v>0</v>
      </c>
      <c r="C181" s="5">
        <f>+final_results!C181-Raw_Financials!C181</f>
        <v>0</v>
      </c>
      <c r="D181" s="5">
        <f>+final_results!D181-Raw_Financials!D181</f>
        <v>0</v>
      </c>
      <c r="E181" s="5">
        <f>+final_results!E181-Raw_Financials!E181</f>
        <v>0</v>
      </c>
      <c r="F181" s="5">
        <f>+final_results!F181-Raw_Financials!F181</f>
        <v>0</v>
      </c>
      <c r="G181" s="5">
        <f>+final_results!G181-Raw_Financials!G181</f>
        <v>0</v>
      </c>
      <c r="H181" s="5">
        <f>+final_results!H181-Raw_Financials!H181</f>
        <v>0</v>
      </c>
      <c r="I181" s="5">
        <f>+final_results!I181-Raw_Financials!I181</f>
        <v>0</v>
      </c>
      <c r="J181" s="5">
        <f>+final_results!J181-Raw_Financials!J181</f>
        <v>0</v>
      </c>
      <c r="K181" s="5">
        <f>+final_results!K181-Raw_Financials!K181</f>
        <v>49804.749799305057</v>
      </c>
    </row>
    <row r="182" spans="1:11">
      <c r="A182" s="5" t="s">
        <v>179</v>
      </c>
      <c r="B182" s="5">
        <f>+final_results!B182-Raw_Financials!B182</f>
        <v>0</v>
      </c>
      <c r="C182" s="5">
        <f>+final_results!C182-Raw_Financials!C182</f>
        <v>0</v>
      </c>
      <c r="D182" s="5">
        <f>+final_results!D182-Raw_Financials!D182</f>
        <v>0</v>
      </c>
      <c r="E182" s="5">
        <f>+final_results!E182-Raw_Financials!E182</f>
        <v>0</v>
      </c>
      <c r="F182" s="5">
        <f>+final_results!F182-Raw_Financials!F182</f>
        <v>0</v>
      </c>
      <c r="G182" s="5">
        <f>+final_results!G182-Raw_Financials!G182</f>
        <v>0</v>
      </c>
      <c r="H182" s="5">
        <f>+final_results!H182-Raw_Financials!H182</f>
        <v>0</v>
      </c>
      <c r="I182" s="5">
        <f>+final_results!I182-Raw_Financials!I182</f>
        <v>0</v>
      </c>
      <c r="J182" s="5">
        <f>+final_results!J182-Raw_Financials!J182</f>
        <v>0</v>
      </c>
      <c r="K182" s="5">
        <f>+final_results!K182-Raw_Financials!K182</f>
        <v>0</v>
      </c>
    </row>
    <row r="183" spans="1:11">
      <c r="A183" s="6" t="s">
        <v>180</v>
      </c>
      <c r="B183" s="5">
        <f>+final_results!B183-Raw_Financials!B183</f>
        <v>0</v>
      </c>
      <c r="C183" s="5">
        <f>+final_results!C183-Raw_Financials!C183</f>
        <v>0</v>
      </c>
      <c r="D183" s="5">
        <f>+final_results!D183-Raw_Financials!D183</f>
        <v>0</v>
      </c>
      <c r="E183" s="5">
        <f>+final_results!E183-Raw_Financials!E183</f>
        <v>0</v>
      </c>
      <c r="F183" s="5">
        <f>+final_results!F183-Raw_Financials!F183</f>
        <v>0</v>
      </c>
      <c r="G183" s="5">
        <f>+final_results!G183-Raw_Financials!G183</f>
        <v>0</v>
      </c>
      <c r="H183" s="5">
        <f>+final_results!H183-Raw_Financials!H183</f>
        <v>0</v>
      </c>
      <c r="I183" s="5">
        <f>+final_results!I183-Raw_Financials!I183</f>
        <v>0</v>
      </c>
      <c r="J183" s="5">
        <f>+final_results!J183-Raw_Financials!J183</f>
        <v>0</v>
      </c>
      <c r="K183" s="5">
        <f>+final_results!K183-Raw_Financials!K183</f>
        <v>0</v>
      </c>
    </row>
    <row r="184" spans="1:11">
      <c r="A184" s="5" t="s">
        <v>181</v>
      </c>
      <c r="B184" s="5">
        <f>+final_results!B184-Raw_Financials!B184</f>
        <v>0</v>
      </c>
      <c r="C184" s="5">
        <f>+final_results!C184-Raw_Financials!C184</f>
        <v>0</v>
      </c>
      <c r="D184" s="5">
        <f>+final_results!D184-Raw_Financials!D184</f>
        <v>0</v>
      </c>
      <c r="E184" s="5">
        <f>+final_results!E184-Raw_Financials!E184</f>
        <v>0</v>
      </c>
      <c r="F184" s="5">
        <f>+final_results!F184-Raw_Financials!F184</f>
        <v>0</v>
      </c>
      <c r="G184" s="5">
        <f>+final_results!G184-Raw_Financials!G184</f>
        <v>0</v>
      </c>
      <c r="H184" s="5">
        <f>+final_results!H184-Raw_Financials!H184</f>
        <v>0</v>
      </c>
      <c r="I184" s="5">
        <f>+final_results!I184-Raw_Financials!I184</f>
        <v>0</v>
      </c>
      <c r="J184" s="5">
        <f>+final_results!J184-Raw_Financials!J184</f>
        <v>0</v>
      </c>
      <c r="K184" s="5">
        <f>+final_results!K184-Raw_Financials!K184</f>
        <v>0</v>
      </c>
    </row>
    <row r="185" spans="1:11">
      <c r="A185" s="6" t="s">
        <v>182</v>
      </c>
      <c r="B185" s="5">
        <f>+final_results!B185-Raw_Financials!B185</f>
        <v>0</v>
      </c>
      <c r="C185" s="5">
        <f>+final_results!C185-Raw_Financials!C185</f>
        <v>0</v>
      </c>
      <c r="D185" s="5">
        <f>+final_results!D185-Raw_Financials!D185</f>
        <v>0</v>
      </c>
      <c r="E185" s="5">
        <f>+final_results!E185-Raw_Financials!E185</f>
        <v>0</v>
      </c>
      <c r="F185" s="5">
        <f>+final_results!F185-Raw_Financials!F185</f>
        <v>0</v>
      </c>
      <c r="G185" s="5">
        <f>+final_results!G185-Raw_Financials!G185</f>
        <v>0</v>
      </c>
      <c r="H185" s="5">
        <f>+final_results!H185-Raw_Financials!H185</f>
        <v>0</v>
      </c>
      <c r="I185" s="5">
        <f>+final_results!I185-Raw_Financials!I185</f>
        <v>0</v>
      </c>
      <c r="J185" s="5">
        <f>+final_results!J185-Raw_Financials!J185</f>
        <v>0</v>
      </c>
      <c r="K185" s="5">
        <f>+final_results!K185-Raw_Financials!K185</f>
        <v>0</v>
      </c>
    </row>
    <row r="186" spans="1:11">
      <c r="A186" s="5" t="s">
        <v>183</v>
      </c>
      <c r="B186" s="5">
        <f>+final_results!B186-Raw_Financials!B186</f>
        <v>0</v>
      </c>
      <c r="C186" s="5">
        <f>+final_results!C186-Raw_Financials!C186</f>
        <v>0</v>
      </c>
      <c r="D186" s="5">
        <f>+final_results!D186-Raw_Financials!D186</f>
        <v>0</v>
      </c>
      <c r="E186" s="5">
        <f>+final_results!E186-Raw_Financials!E186</f>
        <v>0</v>
      </c>
      <c r="F186" s="5">
        <f>+final_results!F186-Raw_Financials!F186</f>
        <v>0</v>
      </c>
      <c r="G186" s="5">
        <f>+final_results!G186-Raw_Financials!G186</f>
        <v>0</v>
      </c>
      <c r="H186" s="5">
        <f>+final_results!H186-Raw_Financials!H186</f>
        <v>0</v>
      </c>
      <c r="I186" s="5">
        <f>+final_results!I186-Raw_Financials!I186</f>
        <v>0</v>
      </c>
      <c r="J186" s="5">
        <f>+final_results!J186-Raw_Financials!J186</f>
        <v>0</v>
      </c>
      <c r="K186" s="5">
        <f>+final_results!K186-Raw_Financials!K186</f>
        <v>0</v>
      </c>
    </row>
    <row r="187" spans="1:11">
      <c r="A187" s="6" t="s">
        <v>184</v>
      </c>
      <c r="B187" s="5">
        <f>+final_results!B187-Raw_Financials!B187</f>
        <v>0</v>
      </c>
      <c r="C187" s="5">
        <f>+final_results!C187-Raw_Financials!C187</f>
        <v>0</v>
      </c>
      <c r="D187" s="5">
        <f>+final_results!D187-Raw_Financials!D187</f>
        <v>0</v>
      </c>
      <c r="E187" s="5">
        <f>+final_results!E187-Raw_Financials!E187</f>
        <v>0</v>
      </c>
      <c r="F187" s="5">
        <f>+final_results!F187-Raw_Financials!F187</f>
        <v>0</v>
      </c>
      <c r="G187" s="5">
        <f>+final_results!G187-Raw_Financials!G187</f>
        <v>0</v>
      </c>
      <c r="H187" s="5">
        <f>+final_results!H187-Raw_Financials!H187</f>
        <v>0</v>
      </c>
      <c r="I187" s="5">
        <f>+final_results!I187-Raw_Financials!I187</f>
        <v>0</v>
      </c>
      <c r="J187" s="5">
        <f>+final_results!J187-Raw_Financials!J187</f>
        <v>0</v>
      </c>
      <c r="K187" s="5">
        <f>+final_results!K187-Raw_Financials!K187</f>
        <v>0</v>
      </c>
    </row>
    <row r="188" spans="1:11">
      <c r="A188" s="5" t="s">
        <v>185</v>
      </c>
      <c r="B188" s="5">
        <f>+final_results!B188-Raw_Financials!B188</f>
        <v>0</v>
      </c>
      <c r="C188" s="5">
        <f>+final_results!C188-Raw_Financials!C188</f>
        <v>0</v>
      </c>
      <c r="D188" s="5">
        <f>+final_results!D188-Raw_Financials!D188</f>
        <v>0</v>
      </c>
      <c r="E188" s="5">
        <f>+final_results!E188-Raw_Financials!E188</f>
        <v>0</v>
      </c>
      <c r="F188" s="5">
        <f>+final_results!F188-Raw_Financials!F188</f>
        <v>0</v>
      </c>
      <c r="G188" s="5">
        <f>+final_results!G188-Raw_Financials!G188</f>
        <v>0</v>
      </c>
      <c r="H188" s="5">
        <f>+final_results!H188-Raw_Financials!H188</f>
        <v>0</v>
      </c>
      <c r="I188" s="5">
        <f>+final_results!I188-Raw_Financials!I188</f>
        <v>0</v>
      </c>
      <c r="J188" s="5">
        <f>+final_results!J188-Raw_Financials!J188</f>
        <v>0</v>
      </c>
      <c r="K188" s="5">
        <f>+final_results!K188-Raw_Financials!K188</f>
        <v>0</v>
      </c>
    </row>
    <row r="189" spans="1:11">
      <c r="A189" s="6" t="s">
        <v>186</v>
      </c>
      <c r="B189" s="5">
        <f>+final_results!B189-Raw_Financials!B189</f>
        <v>0</v>
      </c>
      <c r="C189" s="5">
        <f>+final_results!C189-Raw_Financials!C189</f>
        <v>0</v>
      </c>
      <c r="D189" s="5">
        <f>+final_results!D189-Raw_Financials!D189</f>
        <v>0</v>
      </c>
      <c r="E189" s="5">
        <f>+final_results!E189-Raw_Financials!E189</f>
        <v>0</v>
      </c>
      <c r="F189" s="5">
        <f>+final_results!F189-Raw_Financials!F189</f>
        <v>0</v>
      </c>
      <c r="G189" s="5">
        <f>+final_results!G189-Raw_Financials!G189</f>
        <v>0</v>
      </c>
      <c r="H189" s="5">
        <f>+final_results!H189-Raw_Financials!H189</f>
        <v>0</v>
      </c>
      <c r="I189" s="5">
        <f>+final_results!I189-Raw_Financials!I189</f>
        <v>0</v>
      </c>
      <c r="J189" s="5">
        <f>+final_results!J189-Raw_Financials!J189</f>
        <v>0</v>
      </c>
      <c r="K189" s="5">
        <f>+final_results!K189-Raw_Financials!K189</f>
        <v>0</v>
      </c>
    </row>
    <row r="190" spans="1:11">
      <c r="A190" s="5" t="s">
        <v>187</v>
      </c>
      <c r="B190" s="5">
        <f>+final_results!B190-Raw_Financials!B190</f>
        <v>0</v>
      </c>
      <c r="C190" s="5">
        <f>+final_results!C190-Raw_Financials!C190</f>
        <v>0</v>
      </c>
      <c r="D190" s="5">
        <f>+final_results!D190-Raw_Financials!D190</f>
        <v>0</v>
      </c>
      <c r="E190" s="5">
        <f>+final_results!E190-Raw_Financials!E190</f>
        <v>0</v>
      </c>
      <c r="F190" s="5">
        <f>+final_results!F190-Raw_Financials!F190</f>
        <v>0</v>
      </c>
      <c r="G190" s="5">
        <f>+final_results!G190-Raw_Financials!G190</f>
        <v>0</v>
      </c>
      <c r="H190" s="5">
        <f>+final_results!H190-Raw_Financials!H190</f>
        <v>0</v>
      </c>
      <c r="I190" s="5">
        <f>+final_results!I190-Raw_Financials!I190</f>
        <v>0</v>
      </c>
      <c r="J190" s="5">
        <f>+final_results!J190-Raw_Financials!J190</f>
        <v>0</v>
      </c>
      <c r="K190" s="5">
        <f>+final_results!K190-Raw_Financials!K190</f>
        <v>0</v>
      </c>
    </row>
    <row r="191" spans="1:11">
      <c r="A191" s="6" t="s">
        <v>188</v>
      </c>
      <c r="B191" s="5">
        <f>+final_results!B191-Raw_Financials!B191</f>
        <v>0</v>
      </c>
      <c r="C191" s="5">
        <f>+final_results!C191-Raw_Financials!C191</f>
        <v>0</v>
      </c>
      <c r="D191" s="5">
        <f>+final_results!D191-Raw_Financials!D191</f>
        <v>0</v>
      </c>
      <c r="E191" s="5">
        <f>+final_results!E191-Raw_Financials!E191</f>
        <v>0</v>
      </c>
      <c r="F191" s="5">
        <f>+final_results!F191-Raw_Financials!F191</f>
        <v>0</v>
      </c>
      <c r="G191" s="5">
        <f>+final_results!G191-Raw_Financials!G191</f>
        <v>0</v>
      </c>
      <c r="H191" s="5">
        <f>+final_results!H191-Raw_Financials!H191</f>
        <v>0</v>
      </c>
      <c r="I191" s="5">
        <f>+final_results!I191-Raw_Financials!I191</f>
        <v>0</v>
      </c>
      <c r="J191" s="5">
        <f>+final_results!J191-Raw_Financials!J191</f>
        <v>0</v>
      </c>
      <c r="K191" s="5">
        <f>+final_results!K191-Raw_Financials!K191</f>
        <v>0</v>
      </c>
    </row>
    <row r="192" spans="1:11">
      <c r="A192" s="5" t="s">
        <v>189</v>
      </c>
      <c r="B192" s="5">
        <f>+final_results!B192-Raw_Financials!B192</f>
        <v>0</v>
      </c>
      <c r="C192" s="5">
        <f>+final_results!C192-Raw_Financials!C192</f>
        <v>0</v>
      </c>
      <c r="D192" s="5">
        <f>+final_results!D192-Raw_Financials!D192</f>
        <v>0</v>
      </c>
      <c r="E192" s="5">
        <f>+final_results!E192-Raw_Financials!E192</f>
        <v>0</v>
      </c>
      <c r="F192" s="5">
        <f>+final_results!F192-Raw_Financials!F192</f>
        <v>0</v>
      </c>
      <c r="G192" s="5">
        <f>+final_results!G192-Raw_Financials!G192</f>
        <v>0</v>
      </c>
      <c r="H192" s="5">
        <f>+final_results!H192-Raw_Financials!H192</f>
        <v>0</v>
      </c>
      <c r="I192" s="5">
        <f>+final_results!I192-Raw_Financials!I192</f>
        <v>0</v>
      </c>
      <c r="J192" s="5">
        <f>+final_results!J192-Raw_Financials!J192</f>
        <v>0</v>
      </c>
      <c r="K192" s="5">
        <f>+final_results!K192-Raw_Financials!K192</f>
        <v>0</v>
      </c>
    </row>
    <row r="193" spans="1:11">
      <c r="A193" s="7" t="s">
        <v>190</v>
      </c>
      <c r="B193" s="5">
        <f>+final_results!B193-Raw_Financials!B193</f>
        <v>-99153.985882409994</v>
      </c>
      <c r="C193" s="5">
        <f>+final_results!C193-Raw_Financials!C193</f>
        <v>0</v>
      </c>
      <c r="D193" s="5">
        <f>+final_results!D193-Raw_Financials!D193</f>
        <v>0</v>
      </c>
      <c r="E193" s="5">
        <f>+final_results!E193-Raw_Financials!E193</f>
        <v>0</v>
      </c>
      <c r="F193" s="5">
        <f>+final_results!F193-Raw_Financials!F193</f>
        <v>0</v>
      </c>
      <c r="G193" s="5">
        <f>+final_results!G193-Raw_Financials!G193</f>
        <v>0</v>
      </c>
      <c r="H193" s="5">
        <f>+final_results!H193-Raw_Financials!H193</f>
        <v>0</v>
      </c>
      <c r="I193" s="5">
        <f>+final_results!I193-Raw_Financials!I193</f>
        <v>0</v>
      </c>
      <c r="J193" s="5">
        <f>+final_results!J193-Raw_Financials!J193</f>
        <v>0</v>
      </c>
      <c r="K193" s="5">
        <f>+final_results!K193-Raw_Financials!K193</f>
        <v>0</v>
      </c>
    </row>
    <row r="194" spans="1:11">
      <c r="A194" s="5" t="s">
        <v>191</v>
      </c>
      <c r="B194" s="5">
        <f>+final_results!B194-Raw_Financials!B194</f>
        <v>0</v>
      </c>
      <c r="C194" s="5">
        <f>+final_results!C194-Raw_Financials!C194</f>
        <v>0</v>
      </c>
      <c r="D194" s="5">
        <f>+final_results!D194-Raw_Financials!D194</f>
        <v>0</v>
      </c>
      <c r="E194" s="5">
        <f>+final_results!E194-Raw_Financials!E194</f>
        <v>0</v>
      </c>
      <c r="F194" s="5">
        <f>+final_results!F194-Raw_Financials!F194</f>
        <v>0</v>
      </c>
      <c r="G194" s="5">
        <f>+final_results!G194-Raw_Financials!G194</f>
        <v>0</v>
      </c>
      <c r="H194" s="5">
        <f>+final_results!H194-Raw_Financials!H194</f>
        <v>0</v>
      </c>
      <c r="I194" s="5">
        <f>+final_results!I194-Raw_Financials!I194</f>
        <v>0</v>
      </c>
      <c r="J194" s="5">
        <f>+final_results!J194-Raw_Financials!J194</f>
        <v>0</v>
      </c>
      <c r="K194" s="5">
        <f>+final_results!K194-Raw_Financials!K194</f>
        <v>-1182890.1405294251</v>
      </c>
    </row>
    <row r="195" spans="1:11">
      <c r="A195" s="6" t="s">
        <v>192</v>
      </c>
      <c r="B195" s="5">
        <f>+final_results!B195-Raw_Financials!B195</f>
        <v>0</v>
      </c>
      <c r="C195" s="5">
        <f>+final_results!C195-Raw_Financials!C195</f>
        <v>0</v>
      </c>
      <c r="D195" s="5">
        <f>+final_results!D195-Raw_Financials!D195</f>
        <v>0</v>
      </c>
      <c r="E195" s="5">
        <f>+final_results!E195-Raw_Financials!E195</f>
        <v>0</v>
      </c>
      <c r="F195" s="5">
        <f>+final_results!F195-Raw_Financials!F195</f>
        <v>0</v>
      </c>
      <c r="G195" s="5">
        <f>+final_results!G195-Raw_Financials!G195</f>
        <v>0</v>
      </c>
      <c r="H195" s="5">
        <f>+final_results!H195-Raw_Financials!H195</f>
        <v>0</v>
      </c>
      <c r="I195" s="5">
        <f>+final_results!I195-Raw_Financials!I195</f>
        <v>0</v>
      </c>
      <c r="J195" s="5">
        <f>+final_results!J195-Raw_Financials!J195</f>
        <v>0</v>
      </c>
      <c r="K195" s="5">
        <f>+final_results!K195-Raw_Financials!K195</f>
        <v>0</v>
      </c>
    </row>
    <row r="196" spans="1:11">
      <c r="A196" s="5" t="s">
        <v>193</v>
      </c>
      <c r="B196" s="5">
        <f>+final_results!B196-Raw_Financials!B196</f>
        <v>0</v>
      </c>
      <c r="C196" s="5">
        <f>+final_results!C196-Raw_Financials!C196</f>
        <v>0</v>
      </c>
      <c r="D196" s="5">
        <f>+final_results!D196-Raw_Financials!D196</f>
        <v>0</v>
      </c>
      <c r="E196" s="5">
        <f>+final_results!E196-Raw_Financials!E196</f>
        <v>0</v>
      </c>
      <c r="F196" s="5">
        <f>+final_results!F196-Raw_Financials!F196</f>
        <v>0</v>
      </c>
      <c r="G196" s="5">
        <f>+final_results!G196-Raw_Financials!G196</f>
        <v>0</v>
      </c>
      <c r="H196" s="5">
        <f>+final_results!H196-Raw_Financials!H196</f>
        <v>0</v>
      </c>
      <c r="I196" s="5">
        <f>+final_results!I196-Raw_Financials!I196</f>
        <v>0</v>
      </c>
      <c r="J196" s="5">
        <f>+final_results!J196-Raw_Financials!J196</f>
        <v>0</v>
      </c>
      <c r="K196" s="5">
        <f>+final_results!K196-Raw_Financials!K196</f>
        <v>0</v>
      </c>
    </row>
    <row r="197" spans="1:11">
      <c r="A197" s="6" t="s">
        <v>194</v>
      </c>
      <c r="B197" s="5">
        <f>+final_results!B197-Raw_Financials!B197</f>
        <v>0</v>
      </c>
      <c r="C197" s="5">
        <f>+final_results!C197-Raw_Financials!C197</f>
        <v>0</v>
      </c>
      <c r="D197" s="5">
        <f>+final_results!D197-Raw_Financials!D197</f>
        <v>0</v>
      </c>
      <c r="E197" s="5">
        <f>+final_results!E197-Raw_Financials!E197</f>
        <v>0</v>
      </c>
      <c r="F197" s="5">
        <f>+final_results!F197-Raw_Financials!F197</f>
        <v>0</v>
      </c>
      <c r="G197" s="5">
        <f>+final_results!G197-Raw_Financials!G197</f>
        <v>0</v>
      </c>
      <c r="H197" s="5">
        <f>+final_results!H197-Raw_Financials!H197</f>
        <v>0</v>
      </c>
      <c r="I197" s="5">
        <f>+final_results!I197-Raw_Financials!I197</f>
        <v>0</v>
      </c>
      <c r="J197" s="5">
        <f>+final_results!J197-Raw_Financials!J197</f>
        <v>0</v>
      </c>
      <c r="K197" s="5">
        <f>+final_results!K197-Raw_Financials!K197</f>
        <v>0</v>
      </c>
    </row>
    <row r="198" spans="1:11">
      <c r="A198" s="7" t="s">
        <v>195</v>
      </c>
      <c r="B198" s="5">
        <f>+final_results!B198-Raw_Financials!B198</f>
        <v>0</v>
      </c>
      <c r="C198" s="5">
        <f>+final_results!C198-Raw_Financials!C198</f>
        <v>0</v>
      </c>
      <c r="D198" s="5">
        <f>+final_results!D198-Raw_Financials!D198</f>
        <v>0</v>
      </c>
      <c r="E198" s="5">
        <f>+final_results!E198-Raw_Financials!E198</f>
        <v>0</v>
      </c>
      <c r="F198" s="5">
        <f>+final_results!F198-Raw_Financials!F198</f>
        <v>0</v>
      </c>
      <c r="G198" s="5">
        <f>+final_results!G198-Raw_Financials!G198</f>
        <v>0</v>
      </c>
      <c r="H198" s="5">
        <f>+final_results!H198-Raw_Financials!H198</f>
        <v>0</v>
      </c>
      <c r="I198" s="5">
        <f>+final_results!I198-Raw_Financials!I198</f>
        <v>0</v>
      </c>
      <c r="J198" s="5">
        <f>+final_results!J198-Raw_Financials!J198</f>
        <v>0</v>
      </c>
      <c r="K198" s="5">
        <f>+final_results!K198-Raw_Financials!K198</f>
        <v>-102602.7265641354</v>
      </c>
    </row>
    <row r="199" spans="1:11">
      <c r="A199" s="6" t="s">
        <v>196</v>
      </c>
      <c r="B199" s="5">
        <f>+final_results!B199-Raw_Financials!B199</f>
        <v>0</v>
      </c>
      <c r="C199" s="5">
        <f>+final_results!C199-Raw_Financials!C199</f>
        <v>0</v>
      </c>
      <c r="D199" s="5">
        <f>+final_results!D199-Raw_Financials!D199</f>
        <v>-7.3880881567592951</v>
      </c>
      <c r="E199" s="5">
        <f>+final_results!E199-Raw_Financials!E199</f>
        <v>0</v>
      </c>
      <c r="F199" s="5">
        <f>+final_results!F199-Raw_Financials!F199</f>
        <v>0</v>
      </c>
      <c r="G199" s="5">
        <f>+final_results!G199-Raw_Financials!G199</f>
        <v>0</v>
      </c>
      <c r="H199" s="5">
        <f>+final_results!H199-Raw_Financials!H199</f>
        <v>0</v>
      </c>
      <c r="I199" s="5">
        <f>+final_results!I199-Raw_Financials!I199</f>
        <v>0</v>
      </c>
      <c r="J199" s="5">
        <f>+final_results!J199-Raw_Financials!J199</f>
        <v>0</v>
      </c>
      <c r="K199" s="5">
        <f>+final_results!K199-Raw_Financials!K199</f>
        <v>0</v>
      </c>
    </row>
    <row r="200" spans="1:11">
      <c r="A200" s="5" t="s">
        <v>197</v>
      </c>
      <c r="B200" s="5">
        <f>+final_results!B200-Raw_Financials!B200</f>
        <v>0</v>
      </c>
      <c r="C200" s="5">
        <f>+final_results!C200-Raw_Financials!C200</f>
        <v>0</v>
      </c>
      <c r="D200" s="5">
        <f>+final_results!D200-Raw_Financials!D200</f>
        <v>0</v>
      </c>
      <c r="E200" s="5">
        <f>+final_results!E200-Raw_Financials!E200</f>
        <v>0</v>
      </c>
      <c r="F200" s="5">
        <f>+final_results!F200-Raw_Financials!F200</f>
        <v>0</v>
      </c>
      <c r="G200" s="5">
        <f>+final_results!G200-Raw_Financials!G200</f>
        <v>-147.26933031422811</v>
      </c>
      <c r="H200" s="5">
        <f>+final_results!H200-Raw_Financials!H200</f>
        <v>0</v>
      </c>
      <c r="I200" s="5">
        <f>+final_results!I200-Raw_Financials!I200</f>
        <v>0</v>
      </c>
      <c r="J200" s="5">
        <f>+final_results!J200-Raw_Financials!J200</f>
        <v>-16700.263719672246</v>
      </c>
      <c r="K200" s="5">
        <f>+final_results!K200-Raw_Financials!K200</f>
        <v>158525.19557725321</v>
      </c>
    </row>
    <row r="201" spans="1:11">
      <c r="A201" s="6" t="s">
        <v>198</v>
      </c>
      <c r="B201" s="5">
        <f>+final_results!B201-Raw_Financials!B201</f>
        <v>0</v>
      </c>
      <c r="C201" s="5">
        <f>+final_results!C201-Raw_Financials!C201</f>
        <v>0</v>
      </c>
      <c r="D201" s="5">
        <f>+final_results!D201-Raw_Financials!D201</f>
        <v>0</v>
      </c>
      <c r="E201" s="5">
        <f>+final_results!E201-Raw_Financials!E201</f>
        <v>0</v>
      </c>
      <c r="F201" s="5">
        <f>+final_results!F201-Raw_Financials!F201</f>
        <v>0</v>
      </c>
      <c r="G201" s="5">
        <f>+final_results!G201-Raw_Financials!G201</f>
        <v>0</v>
      </c>
      <c r="H201" s="5">
        <f>+final_results!H201-Raw_Financials!H201</f>
        <v>0</v>
      </c>
      <c r="I201" s="5">
        <f>+final_results!I201-Raw_Financials!I201</f>
        <v>0</v>
      </c>
      <c r="J201" s="5">
        <f>+final_results!J201-Raw_Financials!J201</f>
        <v>0</v>
      </c>
      <c r="K201" s="5">
        <f>+final_results!K201-Raw_Financials!K201</f>
        <v>0</v>
      </c>
    </row>
    <row r="202" spans="1:11">
      <c r="A202" s="5" t="s">
        <v>199</v>
      </c>
      <c r="B202" s="5">
        <f>+final_results!B202-Raw_Financials!B202</f>
        <v>0</v>
      </c>
      <c r="C202" s="5">
        <f>+final_results!C202-Raw_Financials!C202</f>
        <v>0</v>
      </c>
      <c r="D202" s="5">
        <f>+final_results!D202-Raw_Financials!D202</f>
        <v>0</v>
      </c>
      <c r="E202" s="5">
        <f>+final_results!E202-Raw_Financials!E202</f>
        <v>0</v>
      </c>
      <c r="F202" s="5">
        <f>+final_results!F202-Raw_Financials!F202</f>
        <v>0</v>
      </c>
      <c r="G202" s="5">
        <f>+final_results!G202-Raw_Financials!G202</f>
        <v>0</v>
      </c>
      <c r="H202" s="5">
        <f>+final_results!H202-Raw_Financials!H202</f>
        <v>0</v>
      </c>
      <c r="I202" s="5">
        <f>+final_results!I202-Raw_Financials!I202</f>
        <v>0</v>
      </c>
      <c r="J202" s="5">
        <f>+final_results!J202-Raw_Financials!J202</f>
        <v>0</v>
      </c>
      <c r="K202" s="5">
        <f>+final_results!K202-Raw_Financials!K202</f>
        <v>0</v>
      </c>
    </row>
    <row r="203" spans="1:11">
      <c r="A203" s="6" t="s">
        <v>200</v>
      </c>
      <c r="B203" s="5">
        <f>+final_results!B203-Raw_Financials!B203</f>
        <v>0</v>
      </c>
      <c r="C203" s="5">
        <f>+final_results!C203-Raw_Financials!C203</f>
        <v>0</v>
      </c>
      <c r="D203" s="5">
        <f>+final_results!D203-Raw_Financials!D203</f>
        <v>0</v>
      </c>
      <c r="E203" s="5">
        <f>+final_results!E203-Raw_Financials!E203</f>
        <v>0</v>
      </c>
      <c r="F203" s="5">
        <f>+final_results!F203-Raw_Financials!F203</f>
        <v>0</v>
      </c>
      <c r="G203" s="5">
        <f>+final_results!G203-Raw_Financials!G203</f>
        <v>0</v>
      </c>
      <c r="H203" s="5">
        <f>+final_results!H203-Raw_Financials!H203</f>
        <v>0</v>
      </c>
      <c r="I203" s="5">
        <f>+final_results!I203-Raw_Financials!I203</f>
        <v>0</v>
      </c>
      <c r="J203" s="5">
        <f>+final_results!J203-Raw_Financials!J203</f>
        <v>0</v>
      </c>
      <c r="K203" s="5">
        <f>+final_results!K203-Raw_Financials!K203</f>
        <v>0</v>
      </c>
    </row>
    <row r="204" spans="1:11">
      <c r="A204" s="7" t="s">
        <v>201</v>
      </c>
      <c r="B204" s="5">
        <f>+final_results!B204-Raw_Financials!B204</f>
        <v>0</v>
      </c>
      <c r="C204" s="5">
        <f>+final_results!C204-Raw_Financials!C204</f>
        <v>0</v>
      </c>
      <c r="D204" s="5">
        <f>+final_results!D204-Raw_Financials!D204</f>
        <v>0</v>
      </c>
      <c r="E204" s="5">
        <f>+final_results!E204-Raw_Financials!E204</f>
        <v>0</v>
      </c>
      <c r="F204" s="5">
        <f>+final_results!F204-Raw_Financials!F204</f>
        <v>0</v>
      </c>
      <c r="G204" s="5">
        <f>+final_results!G204-Raw_Financials!G204</f>
        <v>0</v>
      </c>
      <c r="H204" s="5">
        <f>+final_results!H204-Raw_Financials!H204</f>
        <v>0</v>
      </c>
      <c r="I204" s="5">
        <f>+final_results!I204-Raw_Financials!I204</f>
        <v>0</v>
      </c>
      <c r="J204" s="5">
        <f>+final_results!J204-Raw_Financials!J204</f>
        <v>0</v>
      </c>
      <c r="K204" s="5">
        <f>+final_results!K204-Raw_Financials!K204</f>
        <v>0</v>
      </c>
    </row>
    <row r="205" spans="1:11">
      <c r="A205" s="6" t="s">
        <v>202</v>
      </c>
      <c r="B205" s="5">
        <f>+final_results!B205-Raw_Financials!B205</f>
        <v>0</v>
      </c>
      <c r="C205" s="5">
        <f>+final_results!C205-Raw_Financials!C205</f>
        <v>0</v>
      </c>
      <c r="D205" s="5">
        <f>+final_results!D205-Raw_Financials!D205</f>
        <v>0</v>
      </c>
      <c r="E205" s="5">
        <f>+final_results!E205-Raw_Financials!E205</f>
        <v>0</v>
      </c>
      <c r="F205" s="5">
        <f>+final_results!F205-Raw_Financials!F205</f>
        <v>0</v>
      </c>
      <c r="G205" s="5">
        <f>+final_results!G205-Raw_Financials!G205</f>
        <v>0</v>
      </c>
      <c r="H205" s="5">
        <f>+final_results!H205-Raw_Financials!H205</f>
        <v>0</v>
      </c>
      <c r="I205" s="5">
        <f>+final_results!I205-Raw_Financials!I205</f>
        <v>0</v>
      </c>
      <c r="J205" s="5">
        <f>+final_results!J205-Raw_Financials!J205</f>
        <v>0</v>
      </c>
      <c r="K205" s="5">
        <f>+final_results!K205-Raw_Financials!K205</f>
        <v>0</v>
      </c>
    </row>
    <row r="206" spans="1:11">
      <c r="A206" s="5" t="s">
        <v>203</v>
      </c>
      <c r="B206" s="5">
        <f>+final_results!B206-Raw_Financials!B206</f>
        <v>0</v>
      </c>
      <c r="C206" s="5">
        <f>+final_results!C206-Raw_Financials!C206</f>
        <v>0</v>
      </c>
      <c r="D206" s="5">
        <f>+final_results!D206-Raw_Financials!D206</f>
        <v>0</v>
      </c>
      <c r="E206" s="5">
        <f>+final_results!E206-Raw_Financials!E206</f>
        <v>0</v>
      </c>
      <c r="F206" s="5">
        <f>+final_results!F206-Raw_Financials!F206</f>
        <v>0</v>
      </c>
      <c r="G206" s="5">
        <f>+final_results!G206-Raw_Financials!G206</f>
        <v>0</v>
      </c>
      <c r="H206" s="5">
        <f>+final_results!H206-Raw_Financials!H206</f>
        <v>0</v>
      </c>
      <c r="I206" s="5">
        <f>+final_results!I206-Raw_Financials!I206</f>
        <v>0</v>
      </c>
      <c r="J206" s="5">
        <f>+final_results!J206-Raw_Financials!J206</f>
        <v>0</v>
      </c>
      <c r="K206" s="5">
        <f>+final_results!K206-Raw_Financials!K206</f>
        <v>0</v>
      </c>
    </row>
    <row r="207" spans="1:11">
      <c r="A207" s="6" t="s">
        <v>204</v>
      </c>
      <c r="B207" s="5">
        <f>+final_results!B207-Raw_Financials!B207</f>
        <v>0</v>
      </c>
      <c r="C207" s="5">
        <f>+final_results!C207-Raw_Financials!C207</f>
        <v>0</v>
      </c>
      <c r="D207" s="5">
        <f>+final_results!D207-Raw_Financials!D207</f>
        <v>0</v>
      </c>
      <c r="E207" s="5">
        <f>+final_results!E207-Raw_Financials!E207</f>
        <v>0</v>
      </c>
      <c r="F207" s="5">
        <f>+final_results!F207-Raw_Financials!F207</f>
        <v>0</v>
      </c>
      <c r="G207" s="5">
        <f>+final_results!G207-Raw_Financials!G207</f>
        <v>0</v>
      </c>
      <c r="H207" s="5">
        <f>+final_results!H207-Raw_Financials!H207</f>
        <v>0</v>
      </c>
      <c r="I207" s="5">
        <f>+final_results!I207-Raw_Financials!I207</f>
        <v>0</v>
      </c>
      <c r="J207" s="5">
        <f>+final_results!J207-Raw_Financials!J207</f>
        <v>0</v>
      </c>
      <c r="K207" s="5">
        <f>+final_results!K207-Raw_Financials!K207</f>
        <v>0</v>
      </c>
    </row>
    <row r="208" spans="1:11">
      <c r="A208" s="5" t="s">
        <v>205</v>
      </c>
      <c r="B208" s="5">
        <f>+final_results!B208-Raw_Financials!B208</f>
        <v>0</v>
      </c>
      <c r="C208" s="5">
        <f>+final_results!C208-Raw_Financials!C208</f>
        <v>0</v>
      </c>
      <c r="D208" s="5">
        <f>+final_results!D208-Raw_Financials!D208</f>
        <v>0</v>
      </c>
      <c r="E208" s="5">
        <f>+final_results!E208-Raw_Financials!E208</f>
        <v>0</v>
      </c>
      <c r="F208" s="5">
        <f>+final_results!F208-Raw_Financials!F208</f>
        <v>0</v>
      </c>
      <c r="G208" s="5">
        <f>+final_results!G208-Raw_Financials!G208</f>
        <v>0</v>
      </c>
      <c r="H208" s="5">
        <f>+final_results!H208-Raw_Financials!H208</f>
        <v>0</v>
      </c>
      <c r="I208" s="5">
        <f>+final_results!I208-Raw_Financials!I208</f>
        <v>0</v>
      </c>
      <c r="J208" s="5">
        <f>+final_results!J208-Raw_Financials!J208</f>
        <v>0</v>
      </c>
      <c r="K208" s="5">
        <f>+final_results!K208-Raw_Financials!K208</f>
        <v>0</v>
      </c>
    </row>
    <row r="209" spans="1:11">
      <c r="A209" s="6" t="s">
        <v>206</v>
      </c>
      <c r="B209" s="5">
        <f>+final_results!B209-Raw_Financials!B209</f>
        <v>0</v>
      </c>
      <c r="C209" s="5">
        <f>+final_results!C209-Raw_Financials!C209</f>
        <v>0</v>
      </c>
      <c r="D209" s="5">
        <f>+final_results!D209-Raw_Financials!D209</f>
        <v>0</v>
      </c>
      <c r="E209" s="5">
        <f>+final_results!E209-Raw_Financials!E209</f>
        <v>0</v>
      </c>
      <c r="F209" s="5">
        <f>+final_results!F209-Raw_Financials!F209</f>
        <v>0</v>
      </c>
      <c r="G209" s="5">
        <f>+final_results!G209-Raw_Financials!G209</f>
        <v>0</v>
      </c>
      <c r="H209" s="5">
        <f>+final_results!H209-Raw_Financials!H209</f>
        <v>0</v>
      </c>
      <c r="I209" s="5">
        <f>+final_results!I209-Raw_Financials!I209</f>
        <v>0</v>
      </c>
      <c r="J209" s="5">
        <f>+final_results!J209-Raw_Financials!J209</f>
        <v>0</v>
      </c>
      <c r="K209" s="5">
        <f>+final_results!K209-Raw_Financials!K209</f>
        <v>0</v>
      </c>
    </row>
    <row r="210" spans="1:11">
      <c r="A210" s="5" t="s">
        <v>207</v>
      </c>
      <c r="B210" s="5">
        <f>+final_results!B210-Raw_Financials!B210</f>
        <v>0</v>
      </c>
      <c r="C210" s="5">
        <f>+final_results!C210-Raw_Financials!C210</f>
        <v>0</v>
      </c>
      <c r="D210" s="5">
        <f>+final_results!D210-Raw_Financials!D210</f>
        <v>0</v>
      </c>
      <c r="E210" s="5">
        <f>+final_results!E210-Raw_Financials!E210</f>
        <v>0</v>
      </c>
      <c r="F210" s="5">
        <f>+final_results!F210-Raw_Financials!F210</f>
        <v>0</v>
      </c>
      <c r="G210" s="5">
        <f>+final_results!G210-Raw_Financials!G210</f>
        <v>0</v>
      </c>
      <c r="H210" s="5">
        <f>+final_results!H210-Raw_Financials!H210</f>
        <v>0</v>
      </c>
      <c r="I210" s="5">
        <f>+final_results!I210-Raw_Financials!I210</f>
        <v>0</v>
      </c>
      <c r="J210" s="5">
        <f>+final_results!J210-Raw_Financials!J210</f>
        <v>0</v>
      </c>
      <c r="K210" s="5">
        <f>+final_results!K210-Raw_Financials!K210</f>
        <v>0</v>
      </c>
    </row>
    <row r="211" spans="1:11">
      <c r="A211" s="6" t="s">
        <v>208</v>
      </c>
      <c r="B211" s="5">
        <f>+final_results!B211-Raw_Financials!B211</f>
        <v>0</v>
      </c>
      <c r="C211" s="5">
        <f>+final_results!C211-Raw_Financials!C211</f>
        <v>0</v>
      </c>
      <c r="D211" s="5">
        <f>+final_results!D211-Raw_Financials!D211</f>
        <v>0</v>
      </c>
      <c r="E211" s="5">
        <f>+final_results!E211-Raw_Financials!E211</f>
        <v>0</v>
      </c>
      <c r="F211" s="5">
        <f>+final_results!F211-Raw_Financials!F211</f>
        <v>0</v>
      </c>
      <c r="G211" s="5">
        <f>+final_results!G211-Raw_Financials!G211</f>
        <v>0</v>
      </c>
      <c r="H211" s="5">
        <f>+final_results!H211-Raw_Financials!H211</f>
        <v>0</v>
      </c>
      <c r="I211" s="5">
        <f>+final_results!I211-Raw_Financials!I211</f>
        <v>0</v>
      </c>
      <c r="J211" s="5">
        <f>+final_results!J211-Raw_Financials!J211</f>
        <v>0</v>
      </c>
      <c r="K211" s="5">
        <f>+final_results!K211-Raw_Financials!K211</f>
        <v>0</v>
      </c>
    </row>
    <row r="212" spans="1:11">
      <c r="A212" s="5" t="s">
        <v>209</v>
      </c>
      <c r="B212" s="5">
        <f>+final_results!B212-Raw_Financials!B212</f>
        <v>0</v>
      </c>
      <c r="C212" s="5">
        <f>+final_results!C212-Raw_Financials!C212</f>
        <v>0</v>
      </c>
      <c r="D212" s="5">
        <f>+final_results!D212-Raw_Financials!D212</f>
        <v>0</v>
      </c>
      <c r="E212" s="5">
        <f>+final_results!E212-Raw_Financials!E212</f>
        <v>0</v>
      </c>
      <c r="F212" s="5">
        <f>+final_results!F212-Raw_Financials!F212</f>
        <v>0</v>
      </c>
      <c r="G212" s="5">
        <f>+final_results!G212-Raw_Financials!G212</f>
        <v>0</v>
      </c>
      <c r="H212" s="5">
        <f>+final_results!H212-Raw_Financials!H212</f>
        <v>0</v>
      </c>
      <c r="I212" s="5">
        <f>+final_results!I212-Raw_Financials!I212</f>
        <v>0</v>
      </c>
      <c r="J212" s="5">
        <f>+final_results!J212-Raw_Financials!J212</f>
        <v>0</v>
      </c>
      <c r="K212" s="5">
        <f>+final_results!K212-Raw_Financials!K212</f>
        <v>0</v>
      </c>
    </row>
    <row r="213" spans="1:11">
      <c r="A213" s="6" t="s">
        <v>210</v>
      </c>
      <c r="B213" s="5">
        <f>+final_results!B213-Raw_Financials!B213</f>
        <v>0</v>
      </c>
      <c r="C213" s="5">
        <f>+final_results!C213-Raw_Financials!C213</f>
        <v>0</v>
      </c>
      <c r="D213" s="5">
        <f>+final_results!D213-Raw_Financials!D213</f>
        <v>0</v>
      </c>
      <c r="E213" s="5">
        <f>+final_results!E213-Raw_Financials!E213</f>
        <v>0</v>
      </c>
      <c r="F213" s="5">
        <f>+final_results!F213-Raw_Financials!F213</f>
        <v>0</v>
      </c>
      <c r="G213" s="5">
        <f>+final_results!G213-Raw_Financials!G213</f>
        <v>0</v>
      </c>
      <c r="H213" s="5">
        <f>+final_results!H213-Raw_Financials!H213</f>
        <v>0</v>
      </c>
      <c r="I213" s="5">
        <f>+final_results!I213-Raw_Financials!I213</f>
        <v>0</v>
      </c>
      <c r="J213" s="5">
        <f>+final_results!J213-Raw_Financials!J213</f>
        <v>0</v>
      </c>
      <c r="K213" s="5">
        <f>+final_results!K213-Raw_Financials!K213</f>
        <v>0</v>
      </c>
    </row>
    <row r="214" spans="1:11">
      <c r="A214" s="7" t="s">
        <v>211</v>
      </c>
      <c r="B214" s="5">
        <f>+final_results!B214-Raw_Financials!B214</f>
        <v>0</v>
      </c>
      <c r="C214" s="5">
        <f>+final_results!C214-Raw_Financials!C214</f>
        <v>0</v>
      </c>
      <c r="D214" s="5">
        <f>+final_results!D214-Raw_Financials!D214</f>
        <v>0</v>
      </c>
      <c r="E214" s="5">
        <f>+final_results!E214-Raw_Financials!E214</f>
        <v>0</v>
      </c>
      <c r="F214" s="5">
        <f>+final_results!F214-Raw_Financials!F214</f>
        <v>0</v>
      </c>
      <c r="G214" s="5">
        <f>+final_results!G214-Raw_Financials!G214</f>
        <v>0</v>
      </c>
      <c r="H214" s="5">
        <f>+final_results!H214-Raw_Financials!H214</f>
        <v>0</v>
      </c>
      <c r="I214" s="5">
        <f>+final_results!I214-Raw_Financials!I214</f>
        <v>0</v>
      </c>
      <c r="J214" s="5">
        <f>+final_results!J214-Raw_Financials!J214</f>
        <v>0</v>
      </c>
      <c r="K214" s="5">
        <f>+final_results!K214-Raw_Financials!K214</f>
        <v>0</v>
      </c>
    </row>
    <row r="215" spans="1:11">
      <c r="A215" s="6" t="s">
        <v>212</v>
      </c>
      <c r="B215" s="5">
        <f>+final_results!B215-Raw_Financials!B215</f>
        <v>0</v>
      </c>
      <c r="C215" s="5">
        <f>+final_results!C215-Raw_Financials!C215</f>
        <v>0</v>
      </c>
      <c r="D215" s="5">
        <f>+final_results!D215-Raw_Financials!D215</f>
        <v>0</v>
      </c>
      <c r="E215" s="5">
        <f>+final_results!E215-Raw_Financials!E215</f>
        <v>0</v>
      </c>
      <c r="F215" s="5">
        <f>+final_results!F215-Raw_Financials!F215</f>
        <v>0</v>
      </c>
      <c r="G215" s="5">
        <f>+final_results!G215-Raw_Financials!G215</f>
        <v>0</v>
      </c>
      <c r="H215" s="5">
        <f>+final_results!H215-Raw_Financials!H215</f>
        <v>0</v>
      </c>
      <c r="I215" s="5">
        <f>+final_results!I215-Raw_Financials!I215</f>
        <v>0</v>
      </c>
      <c r="J215" s="5">
        <f>+final_results!J215-Raw_Financials!J215</f>
        <v>0</v>
      </c>
      <c r="K215" s="5">
        <f>+final_results!K215-Raw_Financials!K215</f>
        <v>0</v>
      </c>
    </row>
    <row r="216" spans="1:11">
      <c r="A216" s="5" t="s">
        <v>213</v>
      </c>
      <c r="B216" s="5">
        <f>+final_results!B216-Raw_Financials!B216</f>
        <v>0</v>
      </c>
      <c r="C216" s="5">
        <f>+final_results!C216-Raw_Financials!C216</f>
        <v>0</v>
      </c>
      <c r="D216" s="5">
        <f>+final_results!D216-Raw_Financials!D216</f>
        <v>0</v>
      </c>
      <c r="E216" s="5">
        <f>+final_results!E216-Raw_Financials!E216</f>
        <v>0</v>
      </c>
      <c r="F216" s="5">
        <f>+final_results!F216-Raw_Financials!F216</f>
        <v>0</v>
      </c>
      <c r="G216" s="5">
        <f>+final_results!G216-Raw_Financials!G216</f>
        <v>0</v>
      </c>
      <c r="H216" s="5">
        <f>+final_results!H216-Raw_Financials!H216</f>
        <v>0</v>
      </c>
      <c r="I216" s="5">
        <f>+final_results!I216-Raw_Financials!I216</f>
        <v>0</v>
      </c>
      <c r="J216" s="5">
        <f>+final_results!J216-Raw_Financials!J216</f>
        <v>0</v>
      </c>
      <c r="K216" s="5">
        <f>+final_results!K216-Raw_Financials!K216</f>
        <v>0</v>
      </c>
    </row>
    <row r="217" spans="1:11">
      <c r="A217" s="7" t="s">
        <v>214</v>
      </c>
      <c r="B217" s="5">
        <f>+final_results!B217-Raw_Financials!B217</f>
        <v>-178922.48432105739</v>
      </c>
      <c r="C217" s="5">
        <f>+final_results!C217-Raw_Financials!C217</f>
        <v>0</v>
      </c>
      <c r="D217" s="5">
        <f>+final_results!D217-Raw_Financials!D217</f>
        <v>0</v>
      </c>
      <c r="E217" s="5">
        <f>+final_results!E217-Raw_Financials!E217</f>
        <v>0</v>
      </c>
      <c r="F217" s="5">
        <f>+final_results!F217-Raw_Financials!F217</f>
        <v>0</v>
      </c>
      <c r="G217" s="5">
        <f>+final_results!G217-Raw_Financials!G217</f>
        <v>0</v>
      </c>
      <c r="H217" s="5">
        <f>+final_results!H217-Raw_Financials!H217</f>
        <v>0</v>
      </c>
      <c r="I217" s="5">
        <f>+final_results!I217-Raw_Financials!I217</f>
        <v>0</v>
      </c>
      <c r="J217" s="5">
        <f>+final_results!J217-Raw_Financials!J217</f>
        <v>0</v>
      </c>
      <c r="K217" s="5">
        <f>+final_results!K217-Raw_Financials!K217</f>
        <v>0</v>
      </c>
    </row>
    <row r="218" spans="1:11">
      <c r="A218" s="5" t="s">
        <v>215</v>
      </c>
      <c r="B218" s="5">
        <f>+final_results!B218-Raw_Financials!B218</f>
        <v>0</v>
      </c>
      <c r="C218" s="5">
        <f>+final_results!C218-Raw_Financials!C218</f>
        <v>0</v>
      </c>
      <c r="D218" s="5">
        <f>+final_results!D218-Raw_Financials!D218</f>
        <v>0</v>
      </c>
      <c r="E218" s="5">
        <f>+final_results!E218-Raw_Financials!E218</f>
        <v>0</v>
      </c>
      <c r="F218" s="5">
        <f>+final_results!F218-Raw_Financials!F218</f>
        <v>0</v>
      </c>
      <c r="G218" s="5">
        <f>+final_results!G218-Raw_Financials!G218</f>
        <v>0</v>
      </c>
      <c r="H218" s="5">
        <f>+final_results!H218-Raw_Financials!H218</f>
        <v>0</v>
      </c>
      <c r="I218" s="5">
        <f>+final_results!I218-Raw_Financials!I218</f>
        <v>0</v>
      </c>
      <c r="J218" s="5">
        <f>+final_results!J218-Raw_Financials!J218</f>
        <v>0</v>
      </c>
      <c r="K218" s="5">
        <f>+final_results!K218-Raw_Financials!K218</f>
        <v>-54641.855000000003</v>
      </c>
    </row>
    <row r="219" spans="1:11">
      <c r="A219" s="6" t="s">
        <v>216</v>
      </c>
      <c r="B219" s="5">
        <f>+final_results!B219-Raw_Financials!B219</f>
        <v>0</v>
      </c>
      <c r="C219" s="5">
        <f>+final_results!C219-Raw_Financials!C219</f>
        <v>0</v>
      </c>
      <c r="D219" s="5">
        <f>+final_results!D219-Raw_Financials!D219</f>
        <v>0</v>
      </c>
      <c r="E219" s="5">
        <f>+final_results!E219-Raw_Financials!E219</f>
        <v>0</v>
      </c>
      <c r="F219" s="5">
        <f>+final_results!F219-Raw_Financials!F219</f>
        <v>0</v>
      </c>
      <c r="G219" s="5">
        <f>+final_results!G219-Raw_Financials!G219</f>
        <v>0</v>
      </c>
      <c r="H219" s="5">
        <f>+final_results!H219-Raw_Financials!H219</f>
        <v>0</v>
      </c>
      <c r="I219" s="5">
        <f>+final_results!I219-Raw_Financials!I219</f>
        <v>0</v>
      </c>
      <c r="J219" s="5">
        <f>+final_results!J219-Raw_Financials!J219</f>
        <v>0</v>
      </c>
      <c r="K219" s="5">
        <f>+final_results!K219-Raw_Financials!K219</f>
        <v>0</v>
      </c>
    </row>
    <row r="220" spans="1:11">
      <c r="A220" s="5" t="s">
        <v>217</v>
      </c>
      <c r="B220" s="5">
        <f>+final_results!B220-Raw_Financials!B220</f>
        <v>0</v>
      </c>
      <c r="C220" s="5">
        <f>+final_results!C220-Raw_Financials!C220</f>
        <v>0</v>
      </c>
      <c r="D220" s="5">
        <f>+final_results!D220-Raw_Financials!D220</f>
        <v>0</v>
      </c>
      <c r="E220" s="5">
        <f>+final_results!E220-Raw_Financials!E220</f>
        <v>0</v>
      </c>
      <c r="F220" s="5">
        <f>+final_results!F220-Raw_Financials!F220</f>
        <v>0</v>
      </c>
      <c r="G220" s="5">
        <f>+final_results!G220-Raw_Financials!G220</f>
        <v>0</v>
      </c>
      <c r="H220" s="5">
        <f>+final_results!H220-Raw_Financials!H220</f>
        <v>0</v>
      </c>
      <c r="I220" s="5">
        <f>+final_results!I220-Raw_Financials!I220</f>
        <v>0</v>
      </c>
      <c r="J220" s="5">
        <f>+final_results!J220-Raw_Financials!J220</f>
        <v>0</v>
      </c>
      <c r="K220" s="5">
        <f>+final_results!K220-Raw_Financials!K220</f>
        <v>0</v>
      </c>
    </row>
    <row r="221" spans="1:11">
      <c r="A221" s="7" t="s">
        <v>218</v>
      </c>
      <c r="B221" s="5">
        <f>+final_results!B221-Raw_Financials!B221</f>
        <v>0</v>
      </c>
      <c r="C221" s="5">
        <f>+final_results!C221-Raw_Financials!C221</f>
        <v>0</v>
      </c>
      <c r="D221" s="5">
        <f>+final_results!D221-Raw_Financials!D221</f>
        <v>0</v>
      </c>
      <c r="E221" s="5">
        <f>+final_results!E221-Raw_Financials!E221</f>
        <v>0</v>
      </c>
      <c r="F221" s="5">
        <f>+final_results!F221-Raw_Financials!F221</f>
        <v>0</v>
      </c>
      <c r="G221" s="5">
        <f>+final_results!G221-Raw_Financials!G221</f>
        <v>0</v>
      </c>
      <c r="H221" s="5">
        <f>+final_results!H221-Raw_Financials!H221</f>
        <v>0</v>
      </c>
      <c r="I221" s="5">
        <f>+final_results!I221-Raw_Financials!I221</f>
        <v>0</v>
      </c>
      <c r="J221" s="5">
        <f>+final_results!J221-Raw_Financials!J221</f>
        <v>0</v>
      </c>
      <c r="K221" s="5">
        <f>+final_results!K221-Raw_Financials!K221</f>
        <v>-54641.855000000003</v>
      </c>
    </row>
    <row r="222" spans="1:11">
      <c r="A222" s="7" t="s">
        <v>219</v>
      </c>
      <c r="B222" s="5">
        <f>+final_results!B222-Raw_Financials!B222</f>
        <v>-178922.48432105739</v>
      </c>
      <c r="C222" s="5">
        <f>+final_results!C222-Raw_Financials!C222</f>
        <v>0</v>
      </c>
      <c r="D222" s="5">
        <f>+final_results!D222-Raw_Financials!D222</f>
        <v>0</v>
      </c>
      <c r="E222" s="5">
        <f>+final_results!E222-Raw_Financials!E222</f>
        <v>0</v>
      </c>
      <c r="F222" s="5">
        <f>+final_results!F222-Raw_Financials!F222</f>
        <v>0</v>
      </c>
      <c r="G222" s="5">
        <f>+final_results!G222-Raw_Financials!G222</f>
        <v>0</v>
      </c>
      <c r="H222" s="5">
        <f>+final_results!H222-Raw_Financials!H222</f>
        <v>0</v>
      </c>
      <c r="I222" s="5">
        <f>+final_results!I222-Raw_Financials!I222</f>
        <v>0</v>
      </c>
      <c r="J222" s="5">
        <f>+final_results!J222-Raw_Financials!J222</f>
        <v>0</v>
      </c>
      <c r="K222" s="5">
        <f>+final_results!K222-Raw_Financials!K222</f>
        <v>0</v>
      </c>
    </row>
    <row r="223" spans="1:11">
      <c r="A223" s="6" t="s">
        <v>220</v>
      </c>
      <c r="B223" s="5">
        <f>+final_results!B223-Raw_Financials!B223</f>
        <v>0</v>
      </c>
      <c r="C223" s="5">
        <f>+final_results!C223-Raw_Financials!C223</f>
        <v>0</v>
      </c>
      <c r="D223" s="5">
        <f>+final_results!D223-Raw_Financials!D223</f>
        <v>0</v>
      </c>
      <c r="E223" s="5">
        <f>+final_results!E223-Raw_Financials!E223</f>
        <v>0</v>
      </c>
      <c r="F223" s="5">
        <f>+final_results!F223-Raw_Financials!F223</f>
        <v>0</v>
      </c>
      <c r="G223" s="5">
        <f>+final_results!G223-Raw_Financials!G223</f>
        <v>0</v>
      </c>
      <c r="H223" s="5">
        <f>+final_results!H223-Raw_Financials!H223</f>
        <v>0</v>
      </c>
      <c r="I223" s="5">
        <f>+final_results!I223-Raw_Financials!I223</f>
        <v>0</v>
      </c>
      <c r="J223" s="5">
        <f>+final_results!J223-Raw_Financials!J223</f>
        <v>0</v>
      </c>
      <c r="K223" s="5">
        <f>+final_results!K223-Raw_Financials!K223</f>
        <v>0</v>
      </c>
    </row>
    <row r="224" spans="1:11">
      <c r="A224" s="5" t="s">
        <v>221</v>
      </c>
      <c r="B224" s="5">
        <f>+final_results!B224-Raw_Financials!B224</f>
        <v>0</v>
      </c>
      <c r="C224" s="5">
        <f>+final_results!C224-Raw_Financials!C224</f>
        <v>0</v>
      </c>
      <c r="D224" s="5">
        <f>+final_results!D224-Raw_Financials!D224</f>
        <v>0</v>
      </c>
      <c r="E224" s="5">
        <f>+final_results!E224-Raw_Financials!E224</f>
        <v>0</v>
      </c>
      <c r="F224" s="5">
        <f>+final_results!F224-Raw_Financials!F224</f>
        <v>0</v>
      </c>
      <c r="G224" s="5">
        <f>+final_results!G224-Raw_Financials!G224</f>
        <v>0</v>
      </c>
      <c r="H224" s="5">
        <f>+final_results!H224-Raw_Financials!H224</f>
        <v>0</v>
      </c>
      <c r="I224" s="5">
        <f>+final_results!I224-Raw_Financials!I224</f>
        <v>0</v>
      </c>
      <c r="J224" s="5">
        <f>+final_results!J224-Raw_Financials!J224</f>
        <v>0</v>
      </c>
      <c r="K224" s="5">
        <f>+final_results!K224-Raw_Financials!K224</f>
        <v>0</v>
      </c>
    </row>
    <row r="225" spans="1:11">
      <c r="A225" s="6" t="s">
        <v>222</v>
      </c>
      <c r="B225" s="5">
        <f>+final_results!B225-Raw_Financials!B225</f>
        <v>0</v>
      </c>
      <c r="C225" s="5">
        <f>+final_results!C225-Raw_Financials!C225</f>
        <v>0</v>
      </c>
      <c r="D225" s="5">
        <f>+final_results!D225-Raw_Financials!D225</f>
        <v>0</v>
      </c>
      <c r="E225" s="5">
        <f>+final_results!E225-Raw_Financials!E225</f>
        <v>0</v>
      </c>
      <c r="F225" s="5">
        <f>+final_results!F225-Raw_Financials!F225</f>
        <v>0</v>
      </c>
      <c r="G225" s="5">
        <f>+final_results!G225-Raw_Financials!G225</f>
        <v>0</v>
      </c>
      <c r="H225" s="5">
        <f>+final_results!H225-Raw_Financials!H225</f>
        <v>0</v>
      </c>
      <c r="I225" s="5">
        <f>+final_results!I225-Raw_Financials!I225</f>
        <v>0</v>
      </c>
      <c r="J225" s="5">
        <f>+final_results!J225-Raw_Financials!J225</f>
        <v>0</v>
      </c>
      <c r="K225" s="5">
        <f>+final_results!K225-Raw_Financials!K225</f>
        <v>0</v>
      </c>
    </row>
  </sheetData>
  <mergeCells count="2">
    <mergeCell ref="M9:N25"/>
    <mergeCell ref="M27:N3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ECE09-D2CC-D24C-A355-3227AA605086}">
  <dimension ref="A1:F121"/>
  <sheetViews>
    <sheetView workbookViewId="0">
      <pane xSplit="1" ySplit="1" topLeftCell="B88" activePane="bottomRight" state="frozen"/>
      <selection pane="topRight" activeCell="B1" sqref="B1"/>
      <selection pane="bottomLeft" activeCell="A2" sqref="A2"/>
      <selection pane="bottomRight" activeCell="E1" sqref="E1"/>
    </sheetView>
  </sheetViews>
  <sheetFormatPr baseColWidth="10" defaultColWidth="8.83203125" defaultRowHeight="15"/>
  <cols>
    <col min="1" max="1" width="12.6640625" style="17" customWidth="1"/>
    <col min="2" max="3" width="14.6640625" style="15" customWidth="1"/>
    <col min="4" max="4" width="16.5" style="18" bestFit="1" customWidth="1"/>
    <col min="5" max="5" width="18.6640625" style="18" bestFit="1" customWidth="1"/>
    <col min="6" max="16384" width="8.83203125" style="16"/>
  </cols>
  <sheetData>
    <row r="1" spans="1:6" s="12" customFormat="1" ht="18" customHeight="1">
      <c r="A1" s="10" t="s">
        <v>223</v>
      </c>
      <c r="B1" s="10" t="s">
        <v>224</v>
      </c>
      <c r="C1" s="10" t="s">
        <v>225</v>
      </c>
      <c r="D1" s="10" t="s">
        <v>226</v>
      </c>
      <c r="E1" s="10" t="s">
        <v>227</v>
      </c>
      <c r="F1" s="11" t="s">
        <v>228</v>
      </c>
    </row>
    <row r="2" spans="1:6">
      <c r="A2" s="13">
        <v>42005</v>
      </c>
      <c r="B2" s="14">
        <v>2.3283428571428999</v>
      </c>
      <c r="C2" s="15">
        <v>2.7162142857143001</v>
      </c>
      <c r="D2" s="16">
        <v>7.75</v>
      </c>
      <c r="E2" s="16">
        <v>7.24</v>
      </c>
    </row>
    <row r="3" spans="1:6">
      <c r="A3" s="13">
        <v>42036</v>
      </c>
      <c r="B3" s="14">
        <v>2.455225</v>
      </c>
      <c r="C3" s="15">
        <v>2.7898800000000001</v>
      </c>
      <c r="D3" s="16">
        <v>7.5</v>
      </c>
      <c r="E3" s="16">
        <v>7.55</v>
      </c>
    </row>
    <row r="4" spans="1:6">
      <c r="A4" s="13">
        <v>42064</v>
      </c>
      <c r="B4" s="14">
        <v>2.5838409090908998</v>
      </c>
      <c r="C4" s="15">
        <v>2.8046500000000001</v>
      </c>
      <c r="D4" s="16">
        <v>7.5</v>
      </c>
      <c r="E4" s="16">
        <v>7.61</v>
      </c>
    </row>
    <row r="5" spans="1:6">
      <c r="A5" s="13">
        <v>42095</v>
      </c>
      <c r="B5" s="14">
        <v>2.6481428571429002</v>
      </c>
      <c r="C5" s="15">
        <v>2.8534047619048</v>
      </c>
      <c r="D5" s="16">
        <v>7.5</v>
      </c>
      <c r="E5" s="16">
        <v>7.91</v>
      </c>
    </row>
    <row r="6" spans="1:6">
      <c r="A6" s="13">
        <v>42125</v>
      </c>
      <c r="B6" s="14">
        <v>2.6461368421053</v>
      </c>
      <c r="C6" s="15">
        <v>2.9551105263158002</v>
      </c>
      <c r="D6" s="16">
        <v>7.5</v>
      </c>
      <c r="E6" s="16">
        <v>8.09</v>
      </c>
    </row>
    <row r="7" spans="1:6">
      <c r="A7" s="13">
        <v>42156</v>
      </c>
      <c r="B7" s="14">
        <v>2.7011590909090999</v>
      </c>
      <c r="C7" s="15">
        <v>3.0267454545454999</v>
      </c>
      <c r="D7" s="16">
        <v>7.5</v>
      </c>
      <c r="E7" s="16">
        <v>7.2000000000000011</v>
      </c>
    </row>
    <row r="8" spans="1:6">
      <c r="A8" s="13">
        <v>42186</v>
      </c>
      <c r="B8" s="14">
        <v>2.6946045454544998</v>
      </c>
      <c r="C8" s="15">
        <v>2.9709818181818002</v>
      </c>
      <c r="D8" s="16">
        <v>7.5</v>
      </c>
      <c r="E8" s="16">
        <v>6.81</v>
      </c>
    </row>
    <row r="9" spans="1:6">
      <c r="A9" s="13">
        <v>42217</v>
      </c>
      <c r="B9" s="14">
        <v>2.8455571428570998</v>
      </c>
      <c r="C9" s="15">
        <v>3.1672190476190001</v>
      </c>
      <c r="D9" s="16">
        <v>7.5</v>
      </c>
      <c r="E9" s="16">
        <v>7.1399999999999988</v>
      </c>
    </row>
    <row r="10" spans="1:6">
      <c r="A10" s="13">
        <v>42248</v>
      </c>
      <c r="B10" s="14">
        <v>3.0027149999999998</v>
      </c>
      <c r="C10" s="15">
        <v>3.3748999999999998</v>
      </c>
      <c r="D10" s="16">
        <v>7.5</v>
      </c>
      <c r="E10" s="16">
        <v>7.95</v>
      </c>
    </row>
    <row r="11" spans="1:6">
      <c r="A11" s="13">
        <v>42278</v>
      </c>
      <c r="B11" s="14">
        <v>2.9295761904762001</v>
      </c>
      <c r="C11" s="15">
        <v>3.2986047619047998</v>
      </c>
      <c r="D11" s="16">
        <v>7.5</v>
      </c>
      <c r="E11" s="16">
        <v>7.580000000000001</v>
      </c>
    </row>
    <row r="12" spans="1:6">
      <c r="A12" s="13">
        <v>42309</v>
      </c>
      <c r="B12" s="14">
        <v>2.8712857142856998</v>
      </c>
      <c r="C12" s="15">
        <v>3.0894333333333002</v>
      </c>
      <c r="D12" s="16">
        <v>7.5</v>
      </c>
      <c r="E12" s="16">
        <v>8.1</v>
      </c>
    </row>
    <row r="13" spans="1:6">
      <c r="A13" s="13">
        <v>42339</v>
      </c>
      <c r="B13" s="14">
        <v>2.9172347826087002</v>
      </c>
      <c r="C13" s="15">
        <v>3.1696913043478001</v>
      </c>
      <c r="D13" s="16">
        <v>7.5</v>
      </c>
      <c r="E13" s="16">
        <v>8.81</v>
      </c>
    </row>
    <row r="14" spans="1:6">
      <c r="A14" s="13">
        <v>42370</v>
      </c>
      <c r="B14" s="14">
        <v>3.0069499999999998</v>
      </c>
      <c r="C14" s="15">
        <v>3.2669199999999998</v>
      </c>
      <c r="D14" s="16">
        <v>7.5</v>
      </c>
      <c r="E14" s="16">
        <v>9.58</v>
      </c>
    </row>
    <row r="15" spans="1:6">
      <c r="A15" s="13">
        <v>42401</v>
      </c>
      <c r="B15" s="14">
        <v>2.9406619047619</v>
      </c>
      <c r="C15" s="15">
        <v>3.2627999999999999</v>
      </c>
      <c r="D15" s="16">
        <v>7.5</v>
      </c>
      <c r="E15" s="16">
        <v>8.7799999999999994</v>
      </c>
    </row>
    <row r="16" spans="1:6">
      <c r="A16" s="13">
        <v>42430</v>
      </c>
      <c r="B16" s="14">
        <v>2.8917391304348001</v>
      </c>
      <c r="C16" s="15">
        <v>3.2063478260870002</v>
      </c>
      <c r="D16" s="16">
        <v>7.5</v>
      </c>
      <c r="E16" s="16">
        <v>7.46</v>
      </c>
    </row>
    <row r="17" spans="1:5">
      <c r="A17" s="13">
        <v>42461</v>
      </c>
      <c r="B17" s="14">
        <v>2.8347380952380998</v>
      </c>
      <c r="C17" s="15">
        <v>3.2134047619047998</v>
      </c>
      <c r="D17" s="16">
        <v>7.5</v>
      </c>
      <c r="E17" s="16">
        <v>6.5700000000000012</v>
      </c>
    </row>
    <row r="18" spans="1:5">
      <c r="A18" s="13">
        <v>42491</v>
      </c>
      <c r="B18" s="14">
        <v>2.9265952380951998</v>
      </c>
      <c r="C18" s="15">
        <v>3.3147333333333</v>
      </c>
      <c r="D18" s="16">
        <v>7.5</v>
      </c>
      <c r="E18" s="16">
        <v>6.58</v>
      </c>
    </row>
    <row r="19" spans="1:5">
      <c r="A19" s="13">
        <v>42522</v>
      </c>
      <c r="B19" s="14">
        <v>2.9169863636364002</v>
      </c>
      <c r="C19" s="15">
        <v>3.2773636363635998</v>
      </c>
      <c r="D19" s="16">
        <v>7.5</v>
      </c>
      <c r="E19" s="16">
        <v>7.64</v>
      </c>
    </row>
    <row r="20" spans="1:5">
      <c r="A20" s="13">
        <v>42552</v>
      </c>
      <c r="B20" s="14">
        <v>2.9575555555555999</v>
      </c>
      <c r="C20" s="15">
        <v>3.2709666666667001</v>
      </c>
      <c r="D20" s="16">
        <v>7.5</v>
      </c>
      <c r="E20" s="16">
        <v>8.7899999999999991</v>
      </c>
    </row>
    <row r="21" spans="1:5">
      <c r="A21" s="13">
        <v>42583</v>
      </c>
      <c r="B21" s="14">
        <v>2.9628636363636001</v>
      </c>
      <c r="C21" s="15">
        <v>3.3207454545455</v>
      </c>
      <c r="D21" s="16">
        <v>7.5</v>
      </c>
      <c r="E21" s="16">
        <v>8.0500000000000007</v>
      </c>
    </row>
    <row r="22" spans="1:5">
      <c r="A22" s="13">
        <v>42614</v>
      </c>
      <c r="B22" s="14">
        <v>2.9601000000000002</v>
      </c>
      <c r="C22" s="15">
        <v>3.3165111111111001</v>
      </c>
      <c r="D22" s="16">
        <v>7.5</v>
      </c>
      <c r="E22" s="16">
        <v>7.28</v>
      </c>
    </row>
    <row r="23" spans="1:5">
      <c r="A23" s="13">
        <v>42644</v>
      </c>
      <c r="B23" s="14">
        <v>3.0679428571429002</v>
      </c>
      <c r="C23" s="15">
        <v>3.3866428571428999</v>
      </c>
      <c r="D23" s="16">
        <v>7.5</v>
      </c>
      <c r="E23" s="16">
        <v>7.16</v>
      </c>
    </row>
    <row r="24" spans="1:5">
      <c r="A24" s="13">
        <v>42675</v>
      </c>
      <c r="B24" s="14">
        <v>3.2674500000000002</v>
      </c>
      <c r="C24" s="15">
        <v>3.5343863636364001</v>
      </c>
      <c r="D24" s="16">
        <v>8</v>
      </c>
      <c r="E24" s="16">
        <v>7.0000000000000009</v>
      </c>
    </row>
    <row r="25" spans="1:5">
      <c r="A25" s="13">
        <v>42705</v>
      </c>
      <c r="B25" s="14">
        <v>3.4889272727273002</v>
      </c>
      <c r="C25" s="15">
        <v>3.6812818181817999</v>
      </c>
      <c r="D25" s="16">
        <v>8</v>
      </c>
      <c r="E25" s="16">
        <v>8.5299999999999994</v>
      </c>
    </row>
    <row r="26" spans="1:5">
      <c r="A26" s="13">
        <v>42736</v>
      </c>
      <c r="B26" s="14">
        <v>3.7348863636364</v>
      </c>
      <c r="C26" s="15">
        <v>3.9654863636363999</v>
      </c>
      <c r="D26" s="16">
        <v>8</v>
      </c>
      <c r="E26" s="16">
        <v>9.2200000000000006</v>
      </c>
    </row>
    <row r="27" spans="1:5">
      <c r="A27" s="13">
        <v>42767</v>
      </c>
      <c r="B27" s="14">
        <v>3.6723599999999998</v>
      </c>
      <c r="C27" s="15">
        <v>3.91099</v>
      </c>
      <c r="D27" s="16">
        <v>8</v>
      </c>
      <c r="E27" s="16">
        <v>10.130000000000001</v>
      </c>
    </row>
    <row r="28" spans="1:5">
      <c r="A28" s="13">
        <v>42795</v>
      </c>
      <c r="B28" s="14">
        <v>3.6659434782609002</v>
      </c>
      <c r="C28" s="15">
        <v>3.9157739130435001</v>
      </c>
      <c r="D28" s="16">
        <v>8</v>
      </c>
      <c r="E28" s="16">
        <v>11.29</v>
      </c>
    </row>
    <row r="29" spans="1:5">
      <c r="A29" s="13">
        <v>42826</v>
      </c>
      <c r="B29" s="14">
        <v>3.6538349999999999</v>
      </c>
      <c r="C29" s="15">
        <v>3.9100999999999999</v>
      </c>
      <c r="D29" s="16">
        <v>8</v>
      </c>
      <c r="E29" s="16">
        <v>11.87</v>
      </c>
    </row>
    <row r="30" spans="1:5">
      <c r="A30" s="13">
        <v>42856</v>
      </c>
      <c r="B30" s="14">
        <v>3.5638619047618998</v>
      </c>
      <c r="C30" s="15">
        <v>3.9323857142856999</v>
      </c>
      <c r="D30" s="16">
        <v>8</v>
      </c>
      <c r="E30" s="16">
        <v>11.72</v>
      </c>
    </row>
    <row r="31" spans="1:5">
      <c r="A31" s="13">
        <v>42887</v>
      </c>
      <c r="B31" s="14">
        <v>3.5189900000000001</v>
      </c>
      <c r="C31" s="15">
        <v>3.9486599999999998</v>
      </c>
      <c r="D31" s="16">
        <v>8</v>
      </c>
      <c r="E31" s="16">
        <v>10.9</v>
      </c>
    </row>
    <row r="32" spans="1:5">
      <c r="A32" s="13">
        <v>42917</v>
      </c>
      <c r="B32" s="14">
        <v>3.5598666666667</v>
      </c>
      <c r="C32" s="15">
        <v>4.0914238095237998</v>
      </c>
      <c r="D32" s="16">
        <v>8</v>
      </c>
      <c r="E32" s="16">
        <v>9.7899999999999991</v>
      </c>
    </row>
    <row r="33" spans="1:5">
      <c r="A33" s="13">
        <v>42948</v>
      </c>
      <c r="B33" s="14">
        <v>3.5124772727272999</v>
      </c>
      <c r="C33" s="15">
        <v>4.1436181818181996</v>
      </c>
      <c r="D33" s="16">
        <v>8</v>
      </c>
      <c r="E33" s="16">
        <v>10.68</v>
      </c>
    </row>
    <row r="34" spans="1:5">
      <c r="A34" s="13">
        <v>42979</v>
      </c>
      <c r="B34" s="14">
        <v>3.4680473684211002</v>
      </c>
      <c r="C34" s="15">
        <v>4.1376947368421</v>
      </c>
      <c r="D34" s="16">
        <v>8</v>
      </c>
      <c r="E34" s="16">
        <v>11.2</v>
      </c>
    </row>
    <row r="35" spans="1:5">
      <c r="A35" s="13">
        <v>43009</v>
      </c>
      <c r="B35" s="14">
        <v>3.6622590909091</v>
      </c>
      <c r="C35" s="15">
        <v>4.3082909090908998</v>
      </c>
      <c r="D35" s="16">
        <v>8</v>
      </c>
      <c r="E35" s="16">
        <v>11.9</v>
      </c>
    </row>
    <row r="36" spans="1:5">
      <c r="A36" s="13">
        <v>43040</v>
      </c>
      <c r="B36" s="14">
        <v>3.8790499999999999</v>
      </c>
      <c r="C36" s="15">
        <v>4.5496272727273004</v>
      </c>
      <c r="D36" s="16">
        <v>8</v>
      </c>
      <c r="E36" s="16">
        <v>12.98</v>
      </c>
    </row>
    <row r="37" spans="1:5">
      <c r="A37" s="13">
        <v>43070</v>
      </c>
      <c r="B37" s="14">
        <v>3.8477047619047999</v>
      </c>
      <c r="C37" s="15">
        <v>4.5525190476189996</v>
      </c>
      <c r="D37" s="16">
        <v>8</v>
      </c>
      <c r="E37" s="16">
        <v>11.92</v>
      </c>
    </row>
    <row r="38" spans="1:5">
      <c r="A38" s="13">
        <v>43101</v>
      </c>
      <c r="B38" s="14">
        <v>3.7723272727273001</v>
      </c>
      <c r="C38" s="15">
        <v>4.5912818181818</v>
      </c>
      <c r="D38" s="16">
        <v>8</v>
      </c>
      <c r="E38" s="16">
        <v>10.35</v>
      </c>
    </row>
    <row r="39" spans="1:5">
      <c r="A39" s="13">
        <v>43132</v>
      </c>
      <c r="B39" s="14">
        <v>3.7780200000000002</v>
      </c>
      <c r="C39" s="15">
        <v>4.6731699999999998</v>
      </c>
      <c r="D39" s="16">
        <v>8</v>
      </c>
      <c r="E39" s="16">
        <v>10.26</v>
      </c>
    </row>
    <row r="40" spans="1:5">
      <c r="A40" s="13">
        <v>43160</v>
      </c>
      <c r="B40" s="14">
        <v>3.8808772727273002</v>
      </c>
      <c r="C40" s="15">
        <v>4.7854636363636001</v>
      </c>
      <c r="D40" s="16">
        <v>8</v>
      </c>
      <c r="E40" s="16">
        <v>10.23</v>
      </c>
    </row>
    <row r="41" spans="1:5">
      <c r="A41" s="13">
        <v>43191</v>
      </c>
      <c r="B41" s="14">
        <v>4.05403</v>
      </c>
      <c r="C41" s="15">
        <v>4.9838050000000003</v>
      </c>
      <c r="D41" s="16">
        <v>8</v>
      </c>
      <c r="E41" s="16">
        <v>10.85</v>
      </c>
    </row>
    <row r="42" spans="1:5">
      <c r="A42" s="13">
        <v>43221</v>
      </c>
      <c r="B42" s="14">
        <v>4.4141454545455003</v>
      </c>
      <c r="C42" s="15">
        <v>5.2222954545454998</v>
      </c>
      <c r="D42" s="16">
        <v>8</v>
      </c>
      <c r="E42" s="16">
        <v>12.15</v>
      </c>
    </row>
    <row r="43" spans="1:5">
      <c r="A43" s="13">
        <v>43252</v>
      </c>
      <c r="B43" s="14">
        <v>4.6282199999999998</v>
      </c>
      <c r="C43" s="15">
        <v>5.4069599999999998</v>
      </c>
      <c r="D43" s="16">
        <v>17.75</v>
      </c>
      <c r="E43" s="16">
        <v>15.39</v>
      </c>
    </row>
    <row r="44" spans="1:5">
      <c r="A44" s="13">
        <v>43282</v>
      </c>
      <c r="B44" s="14">
        <v>4.7480090909091004</v>
      </c>
      <c r="C44" s="15">
        <v>5.5453090909091003</v>
      </c>
      <c r="D44" s="16">
        <v>17.75</v>
      </c>
      <c r="E44" s="16">
        <v>15.85</v>
      </c>
    </row>
    <row r="45" spans="1:5">
      <c r="A45" s="13">
        <v>43313</v>
      </c>
      <c r="B45" s="14">
        <v>5.7301944444444004</v>
      </c>
      <c r="C45" s="15">
        <v>6.6065833333333002</v>
      </c>
      <c r="D45" s="16">
        <v>17.75</v>
      </c>
      <c r="E45" s="16">
        <v>17.899999999999999</v>
      </c>
    </row>
    <row r="46" spans="1:5">
      <c r="A46" s="13">
        <v>43344</v>
      </c>
      <c r="B46" s="14">
        <v>6.3668699999999996</v>
      </c>
      <c r="C46" s="15">
        <v>7.4246800000000004</v>
      </c>
      <c r="D46" s="16">
        <v>24</v>
      </c>
      <c r="E46" s="16">
        <v>24.52</v>
      </c>
    </row>
    <row r="47" spans="1:5">
      <c r="A47" s="13">
        <v>43374</v>
      </c>
      <c r="B47" s="14">
        <v>5.8593727272727003</v>
      </c>
      <c r="C47" s="15">
        <v>6.7416999999999998</v>
      </c>
      <c r="D47" s="16">
        <v>24</v>
      </c>
      <c r="E47" s="16">
        <v>25.239999999999995</v>
      </c>
    </row>
    <row r="48" spans="1:5">
      <c r="A48" s="13">
        <v>43405</v>
      </c>
      <c r="B48" s="14">
        <v>5.3734909090908998</v>
      </c>
      <c r="C48" s="15">
        <v>6.1060818181818002</v>
      </c>
      <c r="D48" s="16">
        <v>24</v>
      </c>
      <c r="E48" s="16">
        <v>21.62</v>
      </c>
    </row>
    <row r="49" spans="1:5">
      <c r="A49" s="13">
        <v>43435</v>
      </c>
      <c r="B49" s="14">
        <v>5.3061238095238004</v>
      </c>
      <c r="C49" s="15">
        <v>6.0386809523810001</v>
      </c>
      <c r="D49" s="16">
        <v>24</v>
      </c>
      <c r="E49" s="16">
        <v>20.3</v>
      </c>
    </row>
    <row r="50" spans="1:5">
      <c r="A50" s="13">
        <v>43466</v>
      </c>
      <c r="B50" s="14">
        <v>5.3693909090909004</v>
      </c>
      <c r="C50" s="15">
        <v>6.1324318181818001</v>
      </c>
      <c r="D50" s="16">
        <v>24</v>
      </c>
      <c r="E50" s="16">
        <v>20.350000000000001</v>
      </c>
    </row>
    <row r="51" spans="1:5">
      <c r="A51" s="13">
        <v>43497</v>
      </c>
      <c r="B51" s="14">
        <v>5.2620550000000001</v>
      </c>
      <c r="C51" s="15">
        <v>5.9750949999999996</v>
      </c>
      <c r="D51" s="16">
        <v>24</v>
      </c>
      <c r="E51" s="16">
        <v>19.670000000000002</v>
      </c>
    </row>
    <row r="52" spans="1:5">
      <c r="A52" s="13">
        <v>43525</v>
      </c>
      <c r="B52" s="14">
        <v>5.4419380952380996</v>
      </c>
      <c r="C52" s="15">
        <v>6.1579809523810001</v>
      </c>
      <c r="D52" s="16">
        <v>24</v>
      </c>
      <c r="E52" s="16">
        <v>19.71</v>
      </c>
    </row>
    <row r="53" spans="1:5">
      <c r="A53" s="13">
        <v>43556</v>
      </c>
      <c r="B53" s="14">
        <v>5.7357714285714003</v>
      </c>
      <c r="C53" s="15">
        <v>6.4475333333332996</v>
      </c>
      <c r="D53" s="16">
        <v>24</v>
      </c>
      <c r="E53" s="16">
        <v>19.5</v>
      </c>
    </row>
    <row r="54" spans="1:5">
      <c r="A54" s="13">
        <v>43586</v>
      </c>
      <c r="B54" s="14">
        <v>6.0494454545455003</v>
      </c>
      <c r="C54" s="15">
        <v>6.7673227272726999</v>
      </c>
      <c r="D54" s="16">
        <v>24</v>
      </c>
      <c r="E54" s="16">
        <v>18.71</v>
      </c>
    </row>
    <row r="55" spans="1:5">
      <c r="A55" s="13">
        <v>43617</v>
      </c>
      <c r="B55" s="14">
        <v>5.8119352941175997</v>
      </c>
      <c r="C55" s="15">
        <v>6.5568941176470998</v>
      </c>
      <c r="D55" s="16">
        <v>24</v>
      </c>
      <c r="E55" s="16">
        <v>15.72</v>
      </c>
    </row>
    <row r="56" spans="1:5">
      <c r="A56" s="13">
        <v>43647</v>
      </c>
      <c r="B56" s="14">
        <v>5.6721772727272999</v>
      </c>
      <c r="C56" s="15">
        <v>6.3691318181818</v>
      </c>
      <c r="D56" s="16">
        <v>19.75</v>
      </c>
      <c r="E56" s="16">
        <v>16.649999999999999</v>
      </c>
    </row>
    <row r="57" spans="1:5">
      <c r="A57" s="13">
        <v>43678</v>
      </c>
      <c r="B57" s="14">
        <v>5.6247888888888999</v>
      </c>
      <c r="C57" s="15">
        <v>6.2560277777777999</v>
      </c>
      <c r="D57" s="16">
        <v>19.75</v>
      </c>
      <c r="E57" s="16">
        <v>15.010000000000002</v>
      </c>
    </row>
    <row r="58" spans="1:5">
      <c r="A58" s="13">
        <v>43709</v>
      </c>
      <c r="B58" s="14">
        <v>5.7127952380952003</v>
      </c>
      <c r="C58" s="15">
        <v>6.2935952380952003</v>
      </c>
      <c r="D58" s="16">
        <v>16.5</v>
      </c>
      <c r="E58" s="16">
        <v>9.26</v>
      </c>
    </row>
    <row r="59" spans="1:5">
      <c r="A59" s="13">
        <v>43739</v>
      </c>
      <c r="B59" s="14">
        <v>5.7845409090909001</v>
      </c>
      <c r="C59" s="15">
        <v>6.3859090909090996</v>
      </c>
      <c r="D59" s="16">
        <v>14</v>
      </c>
      <c r="E59" s="16">
        <v>8.5500000000000007</v>
      </c>
    </row>
    <row r="60" spans="1:5">
      <c r="A60" s="13">
        <v>43770</v>
      </c>
      <c r="B60" s="14">
        <v>5.7312285714286002</v>
      </c>
      <c r="C60" s="15">
        <v>6.3398523809523999</v>
      </c>
      <c r="D60" s="16">
        <v>14</v>
      </c>
      <c r="E60" s="16">
        <v>10.56</v>
      </c>
    </row>
    <row r="61" spans="1:5">
      <c r="A61" s="13">
        <v>43800</v>
      </c>
      <c r="B61" s="14">
        <v>5.8376272727272998</v>
      </c>
      <c r="C61" s="15">
        <v>6.4808863636364</v>
      </c>
      <c r="D61" s="16">
        <v>12</v>
      </c>
      <c r="E61" s="16">
        <v>11.84</v>
      </c>
    </row>
    <row r="62" spans="1:5">
      <c r="A62" s="13">
        <v>43831</v>
      </c>
      <c r="B62" s="14">
        <v>5.9181590909091</v>
      </c>
      <c r="C62" s="15">
        <v>6.5750590909091002</v>
      </c>
      <c r="D62" s="16">
        <v>11.25</v>
      </c>
      <c r="E62" s="16">
        <v>12.15</v>
      </c>
    </row>
    <row r="63" spans="1:5">
      <c r="A63" s="13">
        <v>43862</v>
      </c>
      <c r="B63" s="14">
        <v>6.0444699999999996</v>
      </c>
      <c r="C63" s="15">
        <v>6.5938999999999997</v>
      </c>
      <c r="D63" s="16">
        <v>10.75</v>
      </c>
      <c r="E63" s="16">
        <v>12.37</v>
      </c>
    </row>
    <row r="64" spans="1:5">
      <c r="A64" s="13">
        <v>43891</v>
      </c>
      <c r="B64" s="14">
        <v>6.3144318181818004</v>
      </c>
      <c r="C64" s="15">
        <v>6.9887409090909003</v>
      </c>
      <c r="D64" s="16">
        <v>9.75</v>
      </c>
      <c r="E64" s="16">
        <v>11.86</v>
      </c>
    </row>
    <row r="65" spans="1:5">
      <c r="A65" s="13">
        <v>43922</v>
      </c>
      <c r="B65" s="14">
        <v>6.8189523809523997</v>
      </c>
      <c r="C65" s="15">
        <v>7.4167666666666996</v>
      </c>
      <c r="D65" s="16">
        <v>8.75</v>
      </c>
      <c r="E65" s="16">
        <v>10.94</v>
      </c>
    </row>
    <row r="66" spans="1:5">
      <c r="A66" s="13">
        <v>43952</v>
      </c>
      <c r="B66" s="14">
        <v>6.9519470588235004</v>
      </c>
      <c r="C66" s="15">
        <v>7.5595176470587999</v>
      </c>
      <c r="D66" s="16">
        <v>8.25</v>
      </c>
      <c r="E66" s="16">
        <v>11.39</v>
      </c>
    </row>
    <row r="67" spans="1:5">
      <c r="A67" s="13">
        <v>43983</v>
      </c>
      <c r="B67" s="14">
        <v>6.8088318181818002</v>
      </c>
      <c r="C67" s="15">
        <v>7.6624227272727001</v>
      </c>
      <c r="D67" s="16">
        <v>8.25</v>
      </c>
      <c r="E67" s="16">
        <v>12.619999999999997</v>
      </c>
    </row>
    <row r="68" spans="1:5">
      <c r="A68" s="13">
        <v>44013</v>
      </c>
      <c r="B68" s="14">
        <v>6.8510952380952004</v>
      </c>
      <c r="C68" s="15">
        <v>7.8209761904762001</v>
      </c>
      <c r="D68" s="16">
        <v>8.25</v>
      </c>
      <c r="E68" s="16">
        <v>11.76</v>
      </c>
    </row>
    <row r="69" spans="1:5">
      <c r="A69" s="13">
        <v>44044</v>
      </c>
      <c r="B69" s="14">
        <v>7.2521899999999997</v>
      </c>
      <c r="C69" s="15">
        <v>8.5757899999999996</v>
      </c>
      <c r="D69" s="16">
        <v>8.25</v>
      </c>
      <c r="E69" s="16">
        <v>11.77</v>
      </c>
    </row>
    <row r="70" spans="1:5">
      <c r="A70" s="13">
        <v>44075</v>
      </c>
      <c r="B70" s="14">
        <v>7.5077818181818001</v>
      </c>
      <c r="C70" s="15">
        <v>8.8607499999999995</v>
      </c>
      <c r="D70" s="16">
        <v>10.25</v>
      </c>
      <c r="E70" s="16">
        <v>11.75</v>
      </c>
    </row>
    <row r="71" spans="1:5">
      <c r="A71" s="13">
        <v>44105</v>
      </c>
      <c r="B71" s="14">
        <v>7.8738809523809996</v>
      </c>
      <c r="C71" s="15">
        <v>9.2737047619047992</v>
      </c>
      <c r="D71" s="16">
        <v>10.25</v>
      </c>
      <c r="E71" s="16">
        <v>11.89</v>
      </c>
    </row>
    <row r="72" spans="1:5">
      <c r="A72" s="13">
        <v>44136</v>
      </c>
      <c r="B72" s="14">
        <v>8.0033238095238008</v>
      </c>
      <c r="C72" s="15">
        <v>9.4572000000000003</v>
      </c>
      <c r="D72" s="16">
        <v>15</v>
      </c>
      <c r="E72" s="16">
        <v>14.029999999999998</v>
      </c>
    </row>
    <row r="73" spans="1:5">
      <c r="A73" s="13">
        <v>44166</v>
      </c>
      <c r="B73" s="14">
        <v>7.7210652173912999</v>
      </c>
      <c r="C73" s="15">
        <v>9.3841739130434991</v>
      </c>
      <c r="D73" s="16">
        <v>17</v>
      </c>
      <c r="E73" s="16">
        <v>14.6</v>
      </c>
    </row>
    <row r="74" spans="1:5">
      <c r="A74" s="13">
        <v>44197</v>
      </c>
      <c r="B74" s="14">
        <v>7.3939750000000002</v>
      </c>
      <c r="C74" s="15">
        <v>9.0080899999999993</v>
      </c>
      <c r="D74" s="16">
        <v>17</v>
      </c>
      <c r="E74" s="16">
        <v>14.97</v>
      </c>
    </row>
    <row r="75" spans="1:5">
      <c r="A75" s="13">
        <v>44228</v>
      </c>
      <c r="B75" s="14">
        <v>7.0723649999999996</v>
      </c>
      <c r="C75" s="15">
        <v>8.5561849999999993</v>
      </c>
      <c r="D75" s="16">
        <v>17</v>
      </c>
      <c r="E75" s="16">
        <v>15.61</v>
      </c>
    </row>
    <row r="76" spans="1:5">
      <c r="A76" s="13">
        <v>44256</v>
      </c>
      <c r="B76" s="14">
        <v>7.6282347826086996</v>
      </c>
      <c r="C76" s="15">
        <v>9.0913347826086994</v>
      </c>
      <c r="D76" s="16">
        <v>19</v>
      </c>
      <c r="E76" s="16">
        <v>16.190000000000001</v>
      </c>
    </row>
    <row r="77" spans="1:5">
      <c r="A77" s="13">
        <v>44287</v>
      </c>
      <c r="B77" s="14">
        <v>8.1550238095238008</v>
      </c>
      <c r="C77" s="15">
        <v>9.7338952380952009</v>
      </c>
      <c r="D77" s="16">
        <v>19</v>
      </c>
      <c r="E77" s="16">
        <v>17.14</v>
      </c>
    </row>
    <row r="78" spans="1:5">
      <c r="A78" s="13">
        <v>44317</v>
      </c>
      <c r="B78" s="14">
        <v>8.3422499999999999</v>
      </c>
      <c r="C78" s="15">
        <v>10.130661111110999</v>
      </c>
      <c r="D78" s="16">
        <v>19</v>
      </c>
      <c r="E78" s="16">
        <v>16.59</v>
      </c>
    </row>
    <row r="79" spans="1:5">
      <c r="A79" s="13">
        <v>44348</v>
      </c>
      <c r="B79" s="14">
        <v>8.5966818181817999</v>
      </c>
      <c r="C79" s="15">
        <v>10.371213636364001</v>
      </c>
      <c r="D79" s="16">
        <v>19</v>
      </c>
      <c r="E79" s="16">
        <v>17.53</v>
      </c>
    </row>
    <row r="80" spans="1:5">
      <c r="A80" s="13">
        <v>44378</v>
      </c>
      <c r="B80" s="14">
        <v>8.6129411764705992</v>
      </c>
      <c r="C80" s="15">
        <v>10.192188235293999</v>
      </c>
      <c r="D80" s="16">
        <v>19</v>
      </c>
      <c r="E80" s="16">
        <v>18.95</v>
      </c>
    </row>
    <row r="81" spans="1:5">
      <c r="A81" s="13">
        <v>44409</v>
      </c>
      <c r="B81" s="14">
        <v>8.4757142857143002</v>
      </c>
      <c r="C81" s="15">
        <v>9.9783047619048002</v>
      </c>
      <c r="D81" s="16">
        <v>19</v>
      </c>
      <c r="E81" s="16">
        <v>19.25</v>
      </c>
    </row>
    <row r="82" spans="1:5">
      <c r="A82" s="13">
        <v>44440</v>
      </c>
      <c r="B82" s="14">
        <v>8.5118818181818003</v>
      </c>
      <c r="C82" s="15">
        <v>10.028577272727</v>
      </c>
      <c r="D82" s="16">
        <v>18</v>
      </c>
      <c r="E82" s="16">
        <v>19.579999999999998</v>
      </c>
    </row>
    <row r="83" spans="1:5">
      <c r="A83" s="13">
        <v>44470</v>
      </c>
      <c r="B83" s="14">
        <v>9.1399450000000009</v>
      </c>
      <c r="C83" s="15">
        <v>10.601324999999999</v>
      </c>
      <c r="D83" s="16">
        <v>16</v>
      </c>
      <c r="E83" s="16">
        <v>19.89</v>
      </c>
    </row>
    <row r="84" spans="1:5">
      <c r="A84" s="13">
        <v>44501</v>
      </c>
      <c r="B84" s="14">
        <v>10.523263636364</v>
      </c>
      <c r="C84" s="15">
        <v>12.011395454544999</v>
      </c>
      <c r="D84" s="16">
        <v>15</v>
      </c>
      <c r="E84" s="16">
        <v>21.31</v>
      </c>
    </row>
    <row r="85" spans="1:5">
      <c r="A85" s="13">
        <v>44531</v>
      </c>
      <c r="B85" s="14">
        <v>13.528495652174</v>
      </c>
      <c r="C85" s="15">
        <v>15.28957826087</v>
      </c>
      <c r="D85" s="16">
        <v>14</v>
      </c>
      <c r="E85" s="16">
        <v>36.08</v>
      </c>
    </row>
    <row r="86" spans="1:5">
      <c r="A86" s="13">
        <v>44562</v>
      </c>
      <c r="B86" s="14">
        <v>13.519261904762001</v>
      </c>
      <c r="C86" s="15">
        <v>15.314795238095</v>
      </c>
      <c r="D86" s="16">
        <v>14</v>
      </c>
      <c r="E86" s="16">
        <v>48.69</v>
      </c>
    </row>
    <row r="87" spans="1:5">
      <c r="A87" s="13">
        <v>44593</v>
      </c>
      <c r="B87" s="14">
        <v>13.621124999999999</v>
      </c>
      <c r="C87" s="15">
        <v>15.443849999999999</v>
      </c>
      <c r="D87" s="16">
        <v>14</v>
      </c>
      <c r="E87" s="16">
        <v>54.44</v>
      </c>
    </row>
    <row r="88" spans="1:5">
      <c r="A88" s="13">
        <v>44621</v>
      </c>
      <c r="B88" s="14">
        <v>14.565608695651999</v>
      </c>
      <c r="C88" s="15">
        <v>16.054017391304001</v>
      </c>
      <c r="D88" s="16">
        <v>14</v>
      </c>
      <c r="E88" s="16">
        <v>61.140000000000008</v>
      </c>
    </row>
    <row r="89" spans="1:5">
      <c r="A89" s="13">
        <v>44652</v>
      </c>
      <c r="B89" s="14">
        <v>14.683566666667</v>
      </c>
      <c r="C89" s="15">
        <v>15.932176190476</v>
      </c>
      <c r="D89" s="16">
        <v>14</v>
      </c>
      <c r="E89" s="16">
        <v>69.97</v>
      </c>
    </row>
    <row r="90" spans="1:5">
      <c r="A90" s="13">
        <v>44682</v>
      </c>
      <c r="B90" s="14">
        <v>15.623922222221999</v>
      </c>
      <c r="C90" s="15">
        <v>16.528583333333</v>
      </c>
      <c r="D90" s="16">
        <v>14</v>
      </c>
      <c r="E90" s="16">
        <v>73.5</v>
      </c>
    </row>
    <row r="91" spans="1:5">
      <c r="A91" s="13">
        <v>44713</v>
      </c>
      <c r="B91" s="14">
        <v>16.964718181818</v>
      </c>
      <c r="C91" s="15">
        <v>17.959236363635998</v>
      </c>
      <c r="D91" s="16">
        <v>14</v>
      </c>
      <c r="E91" s="16">
        <v>78.62</v>
      </c>
    </row>
    <row r="92" spans="1:5">
      <c r="A92" s="13">
        <v>44743</v>
      </c>
      <c r="B92" s="14">
        <v>17.387416666667001</v>
      </c>
      <c r="C92" s="15">
        <v>17.772877777778</v>
      </c>
      <c r="D92" s="16">
        <v>14</v>
      </c>
      <c r="E92" s="16">
        <v>79.599999999999994</v>
      </c>
    </row>
    <row r="93" spans="1:5">
      <c r="A93" s="13">
        <v>44774</v>
      </c>
      <c r="B93" s="14">
        <v>17.994949999999999</v>
      </c>
      <c r="C93" s="15">
        <v>18.252209090908998</v>
      </c>
      <c r="D93" s="16">
        <v>13</v>
      </c>
      <c r="E93" s="16">
        <v>80.209999999999994</v>
      </c>
    </row>
    <row r="94" spans="1:5">
      <c r="A94" s="13">
        <v>44805</v>
      </c>
      <c r="B94" s="14">
        <v>18.281477272726999</v>
      </c>
      <c r="C94" s="15">
        <v>18.128695454544999</v>
      </c>
      <c r="D94" s="16">
        <v>12</v>
      </c>
      <c r="E94" s="16">
        <v>83.45</v>
      </c>
    </row>
    <row r="95" spans="1:5">
      <c r="A95" s="13">
        <v>44835</v>
      </c>
      <c r="B95" s="14">
        <v>18.564614285714001</v>
      </c>
      <c r="C95" s="15">
        <v>18.249766666667</v>
      </c>
      <c r="D95" s="16">
        <v>10.5</v>
      </c>
      <c r="E95" s="16">
        <v>85.51</v>
      </c>
    </row>
    <row r="96" spans="1:5">
      <c r="A96" s="13">
        <v>44866</v>
      </c>
      <c r="B96" s="14">
        <v>18.590895454544999</v>
      </c>
      <c r="C96" s="15">
        <v>18.920454545455001</v>
      </c>
      <c r="D96" s="16">
        <v>9</v>
      </c>
      <c r="E96" s="16">
        <v>84.39</v>
      </c>
    </row>
    <row r="97" spans="1:5">
      <c r="A97" s="13">
        <v>44896</v>
      </c>
      <c r="B97" s="14">
        <v>18.636968181817998</v>
      </c>
      <c r="C97" s="15">
        <v>19.704690909090999</v>
      </c>
      <c r="D97" s="16">
        <v>9</v>
      </c>
      <c r="E97" s="16">
        <v>64.27</v>
      </c>
    </row>
    <row r="98" spans="1:5">
      <c r="A98" s="13">
        <v>44927</v>
      </c>
      <c r="B98" s="14">
        <v>18.757572727273001</v>
      </c>
      <c r="C98" s="15">
        <v>20.195713636364001</v>
      </c>
      <c r="D98" s="16">
        <v>9</v>
      </c>
      <c r="E98" s="16">
        <v>57.68</v>
      </c>
    </row>
    <row r="99" spans="1:5">
      <c r="A99" s="13">
        <v>44958</v>
      </c>
      <c r="B99" s="14">
        <v>18.823309999999999</v>
      </c>
      <c r="C99" s="15">
        <v>20.193964999999999</v>
      </c>
      <c r="D99" s="16">
        <v>8.5</v>
      </c>
      <c r="E99" s="16">
        <v>55.179999999999993</v>
      </c>
    </row>
    <row r="100" spans="1:5">
      <c r="A100" s="13">
        <v>44986</v>
      </c>
      <c r="B100" s="14">
        <v>18.969308695652</v>
      </c>
      <c r="C100" s="15">
        <v>20.288852173913</v>
      </c>
      <c r="D100" s="16">
        <v>8.5</v>
      </c>
      <c r="E100" s="16">
        <v>50.51</v>
      </c>
    </row>
    <row r="101" spans="1:5">
      <c r="A101" s="13">
        <v>45017</v>
      </c>
      <c r="B101" s="14">
        <v>19.302252631579002</v>
      </c>
      <c r="C101" s="15">
        <v>21.148910526316001</v>
      </c>
      <c r="D101" s="16">
        <v>8.5</v>
      </c>
      <c r="E101" s="16">
        <v>43.68</v>
      </c>
    </row>
    <row r="102" spans="1:5">
      <c r="A102" s="13">
        <v>45047</v>
      </c>
      <c r="B102" s="14">
        <v>19.684047619047998</v>
      </c>
      <c r="C102" s="15">
        <v>21.425480952381001</v>
      </c>
      <c r="D102" s="16">
        <v>8.5</v>
      </c>
      <c r="E102" s="16">
        <v>39.590000000000003</v>
      </c>
    </row>
    <row r="103" spans="1:5">
      <c r="A103" s="13">
        <v>45078</v>
      </c>
      <c r="B103" s="14">
        <v>23.064489473683999</v>
      </c>
      <c r="C103" s="15">
        <v>24.944284210526</v>
      </c>
      <c r="D103" s="16">
        <v>15</v>
      </c>
      <c r="E103" s="16">
        <v>38.21</v>
      </c>
    </row>
    <row r="104" spans="1:5">
      <c r="A104" s="13">
        <v>45108</v>
      </c>
      <c r="B104" s="14">
        <v>26.422738095238</v>
      </c>
      <c r="C104" s="15">
        <v>29.204085714285998</v>
      </c>
      <c r="D104" s="16">
        <v>17.5</v>
      </c>
      <c r="E104" s="16">
        <v>47.83</v>
      </c>
    </row>
    <row r="105" spans="1:5">
      <c r="A105" s="13">
        <v>45139</v>
      </c>
      <c r="B105" s="14">
        <v>26.950577272726999</v>
      </c>
      <c r="C105" s="15">
        <v>29.428699999999999</v>
      </c>
      <c r="D105" s="16">
        <v>25</v>
      </c>
      <c r="E105" s="16">
        <v>58.939999999999991</v>
      </c>
    </row>
    <row r="106" spans="1:5">
      <c r="A106" s="13">
        <v>45170</v>
      </c>
      <c r="B106" s="14">
        <v>26.940919047619001</v>
      </c>
      <c r="C106" s="15">
        <v>28.820471428571</v>
      </c>
      <c r="D106" s="16">
        <v>30</v>
      </c>
      <c r="E106" s="16">
        <v>61.529999999999994</v>
      </c>
    </row>
    <row r="107" spans="1:5">
      <c r="A107" s="13">
        <v>45200</v>
      </c>
      <c r="B107" s="14">
        <v>27.796031818182001</v>
      </c>
      <c r="C107" s="15">
        <v>29.356750000000002</v>
      </c>
      <c r="D107" s="16">
        <v>35</v>
      </c>
      <c r="E107" s="16">
        <v>61.360000000000007</v>
      </c>
    </row>
    <row r="108" spans="1:5">
      <c r="A108" s="13">
        <v>45231</v>
      </c>
      <c r="B108" s="14">
        <v>28.585586363636001</v>
      </c>
      <c r="C108" s="15">
        <v>30.846945454545001</v>
      </c>
      <c r="D108" s="16">
        <v>40</v>
      </c>
      <c r="E108" s="16">
        <v>61.980000000000004</v>
      </c>
    </row>
    <row r="109" spans="1:5">
      <c r="A109" s="13">
        <v>45261</v>
      </c>
      <c r="B109" s="14">
        <v>29.022561904762</v>
      </c>
      <c r="C109" s="15">
        <v>31.657842857142999</v>
      </c>
      <c r="D109" s="16">
        <v>42.5</v>
      </c>
      <c r="E109" s="16">
        <v>64.77</v>
      </c>
    </row>
    <row r="110" spans="1:5">
      <c r="A110" s="13">
        <v>45292</v>
      </c>
      <c r="B110" s="14">
        <v>29.999700000000001</v>
      </c>
      <c r="C110" s="15">
        <v>32.754268181817999</v>
      </c>
      <c r="D110" s="16">
        <v>45</v>
      </c>
      <c r="E110" s="16">
        <v>64.86</v>
      </c>
    </row>
    <row r="111" spans="1:5">
      <c r="A111" s="13">
        <v>45323</v>
      </c>
      <c r="B111" s="14">
        <v>30.704152380951999</v>
      </c>
      <c r="C111" s="15">
        <v>33.137080952380998</v>
      </c>
      <c r="D111" s="16">
        <v>45</v>
      </c>
      <c r="E111" s="16">
        <v>67.069999999999993</v>
      </c>
    </row>
    <row r="112" spans="1:5">
      <c r="A112" s="13">
        <v>45352</v>
      </c>
      <c r="B112" s="14">
        <v>31.929219047619</v>
      </c>
      <c r="C112" s="15">
        <v>34.713728571429002</v>
      </c>
      <c r="D112" s="16">
        <v>50</v>
      </c>
      <c r="E112" s="16">
        <v>68.5</v>
      </c>
    </row>
    <row r="113" spans="1:5">
      <c r="A113" s="13">
        <v>45383</v>
      </c>
      <c r="B113" s="14">
        <v>32.271327777777998</v>
      </c>
      <c r="C113" s="15">
        <v>34.633211111111002</v>
      </c>
      <c r="D113" s="16">
        <v>50</v>
      </c>
      <c r="E113" s="16">
        <v>69.8</v>
      </c>
    </row>
    <row r="114" spans="1:5">
      <c r="A114" s="13">
        <v>45413</v>
      </c>
      <c r="B114" s="14">
        <v>32.189895454545002</v>
      </c>
      <c r="C114" s="15">
        <v>34.782431818181998</v>
      </c>
      <c r="D114" s="16">
        <v>50</v>
      </c>
      <c r="E114" s="16">
        <v>75.45</v>
      </c>
    </row>
    <row r="115" spans="1:5">
      <c r="A115" s="13">
        <v>45444</v>
      </c>
      <c r="B115" s="14">
        <v>32.462747058824</v>
      </c>
      <c r="C115" s="15">
        <v>34.981735294118003</v>
      </c>
      <c r="D115" s="16">
        <v>50</v>
      </c>
      <c r="E115" s="16">
        <v>71.599999999999994</v>
      </c>
    </row>
    <row r="116" spans="1:5">
      <c r="A116" s="13">
        <v>45474</v>
      </c>
      <c r="B116" s="14">
        <v>32.835327272727</v>
      </c>
      <c r="C116" s="15">
        <v>35.576540909091001</v>
      </c>
      <c r="D116" s="16">
        <v>50</v>
      </c>
      <c r="E116" s="16">
        <v>61.78</v>
      </c>
    </row>
    <row r="117" spans="1:5">
      <c r="A117" s="13">
        <v>45505</v>
      </c>
      <c r="B117" s="14">
        <v>33.560780952381002</v>
      </c>
      <c r="C117" s="15">
        <v>36.906657142857</v>
      </c>
      <c r="D117" s="16">
        <v>50</v>
      </c>
      <c r="E117" s="16">
        <v>51.969999999999992</v>
      </c>
    </row>
    <row r="118" spans="1:5">
      <c r="A118" s="13">
        <v>45536</v>
      </c>
      <c r="B118" s="14">
        <v>33.969271428570998</v>
      </c>
      <c r="C118" s="15">
        <v>37.715176190476001</v>
      </c>
      <c r="D118" s="16">
        <v>50</v>
      </c>
      <c r="E118" s="16">
        <v>49.38</v>
      </c>
    </row>
    <row r="119" spans="1:5">
      <c r="A119" s="13">
        <v>45566</v>
      </c>
      <c r="B119" s="14">
        <v>34.171018181817999</v>
      </c>
      <c r="C119" s="15">
        <v>37.333554545455002</v>
      </c>
      <c r="D119" s="16">
        <v>50</v>
      </c>
      <c r="E119" s="16">
        <v>48.58</v>
      </c>
    </row>
    <row r="120" spans="1:5">
      <c r="A120" s="13">
        <v>45597</v>
      </c>
      <c r="B120" s="14">
        <v>34.364714285714001</v>
      </c>
      <c r="C120" s="15">
        <v>36.572628571429</v>
      </c>
      <c r="D120" s="16">
        <v>50</v>
      </c>
      <c r="E120" s="16">
        <v>47.09</v>
      </c>
    </row>
    <row r="121" spans="1:5">
      <c r="A121" s="13">
        <v>45627</v>
      </c>
      <c r="B121" s="14">
        <v>34.903822727273003</v>
      </c>
      <c r="C121" s="15">
        <v>36.577013636364001</v>
      </c>
      <c r="D121" s="16">
        <v>47.5</v>
      </c>
      <c r="E121" s="16">
        <v>44.38</v>
      </c>
    </row>
  </sheetData>
  <conditionalFormatting sqref="B2:E121">
    <cfRule type="containsBlanks" dxfId="0" priority="1">
      <formula>LEN(TRIM(B2))=0</formula>
    </cfRule>
  </conditionalFormatting>
  <dataValidations count="2">
    <dataValidation type="decimal" allowBlank="1" showInputMessage="1" showErrorMessage="1" sqref="D2:D121" xr:uid="{07AB33B0-FD9F-8C45-9C54-00A48B51F7D6}">
      <formula1>0</formula1>
      <formula2>100</formula2>
    </dataValidation>
    <dataValidation type="decimal" operator="greaterThanOrEqual" allowBlank="1" showInputMessage="1" showErrorMessage="1" sqref="B2:C121" xr:uid="{4C0845E5-B5BA-7745-9A22-D5126EEB76C5}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8</vt:i4>
      </vt:variant>
    </vt:vector>
  </HeadingPairs>
  <TitlesOfParts>
    <vt:vector size="8" baseType="lpstr">
      <vt:lpstr>Raw_Financials</vt:lpstr>
      <vt:lpstr>FXs</vt:lpstr>
      <vt:lpstr>converted2usd+IQR</vt:lpstr>
      <vt:lpstr>IQR_results_usd</vt:lpstr>
      <vt:lpstr>final_results</vt:lpstr>
      <vt:lpstr>Sayfa1</vt:lpstr>
      <vt:lpstr>Sayfa2</vt:lpstr>
      <vt:lpstr>Macro_Monthly</vt:lpstr>
    </vt:vector>
  </TitlesOfParts>
  <Company>Garanti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Sumeyre Cihangir (Ticari Ve Kurumsal Krediler)</dc:creator>
  <cp:lastModifiedBy>ABDULLAH BURAK YILMAZ</cp:lastModifiedBy>
  <dcterms:created xsi:type="dcterms:W3CDTF">2015-08-20T12:36:27Z</dcterms:created>
  <dcterms:modified xsi:type="dcterms:W3CDTF">2026-01-10T17:40:22Z</dcterms:modified>
</cp:coreProperties>
</file>